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 tabRatio="653" activeTab="3"/>
  </bookViews>
  <sheets>
    <sheet name="CAMPOS DE INGRESO RAYPAC" sheetId="4" r:id="rId1"/>
    <sheet name="CAMPOS DE INGRESO DML" sheetId="1" r:id="rId2"/>
    <sheet name="MATRIZ DE REPUESTOS " sheetId="2" r:id="rId3"/>
    <sheet name="FICHA" sheetId="5" r:id="rId4"/>
  </sheets>
  <definedNames>
    <definedName name="X">'CAMPOS DE INGRESO DML'!$K$4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DML_OF</author>
  </authors>
  <commentList>
    <comment ref="B220" authorId="0">
      <text>
        <r>
          <rPr>
            <b/>
            <sz val="9"/>
            <rFont val="Tahoma"/>
            <charset val="134"/>
          </rPr>
          <t>DML_OF:</t>
        </r>
        <r>
          <rPr>
            <sz val="9"/>
            <rFont val="Tahoma"/>
            <charset val="134"/>
          </rPr>
          <t xml:space="preserve">
RULEMAN FUERA DE STOCK NO SE SABE DE QUE MAQUINA ES
</t>
        </r>
      </text>
    </comment>
  </commentList>
</comments>
</file>

<file path=xl/sharedStrings.xml><?xml version="1.0" encoding="utf-8"?>
<sst xmlns="http://schemas.openxmlformats.org/spreadsheetml/2006/main" count="757" uniqueCount="651">
  <si>
    <t>CAMPOS DE INGRESO RAYPAC</t>
  </si>
  <si>
    <t>N°</t>
  </si>
  <si>
    <t>FECHA DE RECEPCIÓN</t>
  </si>
  <si>
    <t>REPARACIÓN/PRESUPUESTO</t>
  </si>
  <si>
    <t>CLIENTE</t>
  </si>
  <si>
    <t xml:space="preserve">N° DE SERIE </t>
  </si>
  <si>
    <t>MODELO DE MÁQUINA</t>
  </si>
  <si>
    <t>TIPO DE MÁQUINA</t>
  </si>
  <si>
    <t>N° DE BATERÍA</t>
  </si>
  <si>
    <t>N° DE CARGADOR</t>
  </si>
  <si>
    <t>DIAGNÓSTICO DE INGRESO</t>
  </si>
  <si>
    <t>COMERCIAL RESPONSABLE</t>
  </si>
  <si>
    <t>MAIL DE COMERCIAL RESPONSABLE</t>
  </si>
  <si>
    <t>N° DE REMITO</t>
  </si>
  <si>
    <t>REPARACIÓN</t>
  </si>
  <si>
    <t>BAYER</t>
  </si>
  <si>
    <t>ITA24</t>
  </si>
  <si>
    <t>A BATERIA</t>
  </si>
  <si>
    <t>NO APLICA</t>
  </si>
  <si>
    <t>NO SELLA</t>
  </si>
  <si>
    <t>Ezequiel Pacheco</t>
  </si>
  <si>
    <t>ezequiel.pacheco@raypac.net</t>
  </si>
  <si>
    <t>CT20</t>
  </si>
  <si>
    <t>ABBOTT</t>
  </si>
  <si>
    <t>CT25</t>
  </si>
  <si>
    <t>ALUAR</t>
  </si>
  <si>
    <t>PRESUPUESTO</t>
  </si>
  <si>
    <t>CT40</t>
  </si>
  <si>
    <t>ANDREANI</t>
  </si>
  <si>
    <t>Leonardo Gastager</t>
  </si>
  <si>
    <t>leonardo.gastager@raypac.net</t>
  </si>
  <si>
    <t>CTT20</t>
  </si>
  <si>
    <t>MANUAL</t>
  </si>
  <si>
    <t>Luciana Gregorio</t>
  </si>
  <si>
    <t>luciana.gregorio@raypac.net</t>
  </si>
  <si>
    <t>CTT25</t>
  </si>
  <si>
    <t>NEUMÁTICA</t>
  </si>
  <si>
    <t>Cartocor</t>
  </si>
  <si>
    <t>Luciana Paradiso</t>
  </si>
  <si>
    <t>luciana.paradiso@raypac.net</t>
  </si>
  <si>
    <t>CTT40</t>
  </si>
  <si>
    <t>OTRO</t>
  </si>
  <si>
    <t>CASTELLI</t>
  </si>
  <si>
    <t>Dato correlativo partiendo del N° 1 de forma automática</t>
  </si>
  <si>
    <t>Acá va la fecha, si el sistema esta en hora debe sugerir la fecha del día</t>
  </si>
  <si>
    <t>ELEGIR DEL DESPLEGABLE</t>
  </si>
  <si>
    <t>Nombre del cliente</t>
  </si>
  <si>
    <t>Ingreso manual del N° de serie de la maquina</t>
  </si>
  <si>
    <t>Elegir del desplegable el modelo de máquina</t>
  </si>
  <si>
    <t>Elegir según desplegable</t>
  </si>
  <si>
    <t>Colocar el número de bateria manualmente o bien elegir la opción NO APLICA</t>
  </si>
  <si>
    <t>Colocar el número de cargador manualmente o bien elegir la opción NO APLICA</t>
  </si>
  <si>
    <t>Ingreso manual de diagnostico con el que llega la máquina a RAYPAC de acuerdo a la información que brinda el cliente</t>
  </si>
  <si>
    <t>Acá se selecciona del desplegable</t>
  </si>
  <si>
    <t>Acá se selecciona del desplegable o bien se relaciona segun el nombre asociado al comercial que se elige de forma automática</t>
  </si>
  <si>
    <t>Cuando Raypac va a enviar la máquina a Service debe cargar el N° de remito de envío</t>
  </si>
  <si>
    <t>Daniela Sofio</t>
  </si>
  <si>
    <t>daniela.sofio@raypac.net</t>
  </si>
  <si>
    <t>ITA10</t>
  </si>
  <si>
    <t>CONARCO</t>
  </si>
  <si>
    <t>Hernán Rivero</t>
  </si>
  <si>
    <t>hernan.rivero@raypac.net</t>
  </si>
  <si>
    <t>ITA11</t>
  </si>
  <si>
    <t>CYKLOP</t>
  </si>
  <si>
    <t>Matias Chaubell</t>
  </si>
  <si>
    <t>matias.chaubell@raypac.net</t>
  </si>
  <si>
    <t>ITA12</t>
  </si>
  <si>
    <t>DERIPLOM</t>
  </si>
  <si>
    <t>Paola Isanelli</t>
  </si>
  <si>
    <t>paola.isabelli@raypac.net</t>
  </si>
  <si>
    <t>ITA20</t>
  </si>
  <si>
    <t>EGGER</t>
  </si>
  <si>
    <t>Romina Gamarra</t>
  </si>
  <si>
    <t>romina.gamarra@raypac.net</t>
  </si>
  <si>
    <t>ITA21</t>
  </si>
  <si>
    <t>FAMIQ</t>
  </si>
  <si>
    <t>FLAMIA</t>
  </si>
  <si>
    <t>ITA25</t>
  </si>
  <si>
    <t>GEMEZ</t>
  </si>
  <si>
    <t xml:space="preserve">GENERAL PLASTICS </t>
  </si>
  <si>
    <t>LA INFORMACIÓN SE PUEDE EDITAR LAS VECES QUE FUERA NECESARIO, PEO SIEMPRE DEBE VOLVER A GRABASRSE AL FINALIZAR</t>
  </si>
  <si>
    <t>HENKEL ARG.</t>
  </si>
  <si>
    <t>HIDRO ARG</t>
  </si>
  <si>
    <t>LA INFORMACIÓNQUEDA FREEZADA Y YA NO SE PODRÁ EDITAR DE FORMA DIRECTA, PARA EDITAR SE DEBERÁ INGRESAR UN CODIGO O CONTRASEÑA DE DESPLOBUEO.</t>
  </si>
  <si>
    <t>HILADOS S.A.</t>
  </si>
  <si>
    <t>ILVA</t>
  </si>
  <si>
    <t>INDUSTRIAS LEAR</t>
  </si>
  <si>
    <t>JL</t>
  </si>
  <si>
    <t>LA ELENENSE</t>
  </si>
  <si>
    <t>LA MORALEJA</t>
  </si>
  <si>
    <t>M.DON DAVID</t>
  </si>
  <si>
    <t>MABXINCE</t>
  </si>
  <si>
    <t>MECALUX</t>
  </si>
  <si>
    <t>MESUCAN</t>
  </si>
  <si>
    <t>NUTRIN</t>
  </si>
  <si>
    <t>ONTEC FORTINOX</t>
  </si>
  <si>
    <t>PILKINTON</t>
  </si>
  <si>
    <t>PLUDEL</t>
  </si>
  <si>
    <t>RAYPAC</t>
  </si>
  <si>
    <t>SADEPAN</t>
  </si>
  <si>
    <t>SEDAPIC</t>
  </si>
  <si>
    <t>SOTIC</t>
  </si>
  <si>
    <t>STEL S.A.</t>
  </si>
  <si>
    <t>TIGRE ARG.</t>
  </si>
  <si>
    <t>TIGRE ARGENTINA</t>
  </si>
  <si>
    <t>VIDRIERIA ARG.</t>
  </si>
  <si>
    <t>VITOPEL</t>
  </si>
  <si>
    <t>FICHA</t>
  </si>
  <si>
    <t>CAMPOS DE INGRESO DML</t>
  </si>
  <si>
    <t>FECHA DE INGRESO A  DML</t>
  </si>
  <si>
    <t>TÉCNICO</t>
  </si>
  <si>
    <t>ESTADO GENERAL</t>
  </si>
  <si>
    <t>OBSERVACIÓN</t>
  </si>
  <si>
    <t>DIAGNÓSTICO DE REPARACIÓN</t>
  </si>
  <si>
    <t>REPUESTOS COLOCADOS</t>
  </si>
  <si>
    <t>MECANIZADO</t>
  </si>
  <si>
    <t>HORAS ADICIONALES</t>
  </si>
  <si>
    <t>ESTADO</t>
  </si>
  <si>
    <t>N°  DE CICLOS</t>
  </si>
  <si>
    <t>FECHA DE EGRESO</t>
  </si>
  <si>
    <t>N° DE REMITO DML</t>
  </si>
  <si>
    <t>RICARDO</t>
  </si>
  <si>
    <t>PARTES DEL EQUIPO</t>
  </si>
  <si>
    <t xml:space="preserve">ESTADO </t>
  </si>
  <si>
    <t>MAQUINA CON VARIOS DETALLES</t>
  </si>
  <si>
    <t>CÓDIGO</t>
  </si>
  <si>
    <t>DESCRIPCIÓN</t>
  </si>
  <si>
    <t>CANTIDAD</t>
  </si>
  <si>
    <t>EN STOCK</t>
  </si>
  <si>
    <t>EN FALTA</t>
  </si>
  <si>
    <t>A LA ESPERA DE REVISIÓN</t>
  </si>
  <si>
    <t>A LA ESPERA DE REPUESTOS</t>
  </si>
  <si>
    <t>ESTADO DEL EQUIPO</t>
  </si>
  <si>
    <t>BUENO</t>
  </si>
  <si>
    <t>D006120</t>
  </si>
  <si>
    <t>CON TORNILLOS FALTANTES</t>
  </si>
  <si>
    <t>OK</t>
  </si>
  <si>
    <t>A PROBAR</t>
  </si>
  <si>
    <t>CON DIENTES FALTANTES</t>
  </si>
  <si>
    <t>DESGASTADO</t>
  </si>
  <si>
    <t>DAVID</t>
  </si>
  <si>
    <t>CARCAZA</t>
  </si>
  <si>
    <t>A000180</t>
  </si>
  <si>
    <t>EXCELENTE</t>
  </si>
  <si>
    <t>FALTANTE</t>
  </si>
  <si>
    <t>GOLPEADO</t>
  </si>
  <si>
    <t>ROTO</t>
  </si>
  <si>
    <t>FUNCIONAMIENTO OK</t>
  </si>
  <si>
    <t>DESGASTADA</t>
  </si>
  <si>
    <t>EN REPARACIÓN</t>
  </si>
  <si>
    <t>CUBRE FEEDWHEEL</t>
  </si>
  <si>
    <t>B500273</t>
  </si>
  <si>
    <t>MALO</t>
  </si>
  <si>
    <t>SIN FUNCIONAR</t>
  </si>
  <si>
    <t>NO FUNCIONA</t>
  </si>
  <si>
    <t>MÁQUINA ENTREGADA</t>
  </si>
  <si>
    <t>MANGO</t>
  </si>
  <si>
    <t>RAJADO</t>
  </si>
  <si>
    <t>MÁQUINA LISTA PARA RETIRAR</t>
  </si>
  <si>
    <t xml:space="preserve">BOTONES </t>
  </si>
  <si>
    <t>REGULAR</t>
  </si>
  <si>
    <t>ROTA</t>
  </si>
  <si>
    <t>TRABADO</t>
  </si>
  <si>
    <t>MOTOR DE ARRASTRE</t>
  </si>
  <si>
    <t>RAJADA</t>
  </si>
  <si>
    <t>SIN FILO</t>
  </si>
  <si>
    <t>MOTOR DE SELLADO</t>
  </si>
  <si>
    <t>CUCHILLA</t>
  </si>
  <si>
    <t>SERVO</t>
  </si>
  <si>
    <t>RUEDA DE ARRASTRE</t>
  </si>
  <si>
    <t>RESORTE DE MANIJA</t>
  </si>
  <si>
    <t>OTROS</t>
  </si>
  <si>
    <t>TÉCNICO RESPONSIBLE</t>
  </si>
  <si>
    <t>LISTA DE ESTADO PREFIJADO</t>
  </si>
  <si>
    <t>INGRESO MANUAL DE TEXTO</t>
  </si>
  <si>
    <t>CODIGO DE PRODUCTO hasta 15, en el ejemplo sólo hay 12</t>
  </si>
  <si>
    <t>NOMBRTE DEL PRODUCTO LLAMADO SE DEBE TRAER EL NOMBRE DE LA MATRIZ</t>
  </si>
  <si>
    <t>ingreso manual de cantidad de cada repuesto</t>
  </si>
  <si>
    <t>Si esta en stock aparece el tilde verde</t>
  </si>
  <si>
    <t>Si no esta en stock aparece la cruz roja y desaparece el verde</t>
  </si>
  <si>
    <t>Acá se escribe tipo de mecanizado realizado y si tiene costo, caso contrario se debe poder seleccionar NO APLICA</t>
  </si>
  <si>
    <t>Acá se escribe se ponen la cantidad de horas adicionales si las hubiese, caso contrario se debe poder seleccionar NO APLICA</t>
  </si>
  <si>
    <t>Aca se debe poder poner las horas adicionales si las hay y si no la opcíon NO APLICA</t>
  </si>
  <si>
    <t>Seleccionar del desplegable el estado actual de la máquina</t>
  </si>
  <si>
    <t>Fecha de salida de DML</t>
  </si>
  <si>
    <t>N° REMITO CARGA MANUAL</t>
  </si>
  <si>
    <t>CUANDO SE ELIJA LA OPCIÓN DE MÁQUINA LISTA PARA ENTREGAR SE HABILITA EL BOTÓN DE FINALIZAR REPARACIÓN Y LA INFO QUEDARÁ FREEZADA, SOLO SE PODRA RE-EDITAR INGRESANDO ALGUN CODIGO O CONTRASEÑA DE DESBLOQUEO. AL FINALIZAR LA REPARACIÓN Y UNA VEZ QUE YA NO HAYA QUE EDITAR NADA MÁS, SE PODRÁ OPRIMIR EL BOTÓN DE GENERACIÓN DE FICHA, LA CUAL SE PODRA IMPRIMIR Y A LA VEZ DISPARARÁ EL CORREO AVISANDO QUE LA MÁQUINA SE ENCUENTRA LISTA JUNTO AL ENVÍO DE FICHA AL CORREO AL COMERCIAL CARGADO POR RAYPAC</t>
  </si>
  <si>
    <t>LA INFORMACIÓN SE PUEDE EDITAR LAS VECES QUE FUERA NECESARIO, UNA VEZ GENERADO EL TICKET SE HABILITAN LAS CASILLAS RESTANTES Y SE PUEDE DAR COMIENZO A LA REPARACIÓN.  LA GENERACIÓN DE TICKET DISPARA LA POSIBILIDAD DE IMPRESIÓN DE TICKET Y EL ENVÍO POR CORREO AL COMERCIAL DE RAYPAC CARGADO POR ELLOS.</t>
  </si>
  <si>
    <t>CODIGO</t>
  </si>
  <si>
    <t>ITEM</t>
  </si>
  <si>
    <t>A000006</t>
  </si>
  <si>
    <t>HT TENSION MOTOR GROUP</t>
  </si>
  <si>
    <t>A000007</t>
  </si>
  <si>
    <t>LT TENSION MOTOR GROUP</t>
  </si>
  <si>
    <t>A000038</t>
  </si>
  <si>
    <t>WELDING GROUP</t>
  </si>
  <si>
    <t>A000062</t>
  </si>
  <si>
    <t>CUTTER (ITA 40)</t>
  </si>
  <si>
    <t>A000097</t>
  </si>
  <si>
    <t>SIGNALS CARD WITH LIGHT TRANSP</t>
  </si>
  <si>
    <t>A000155</t>
  </si>
  <si>
    <t>SUSPENSION HOOK ITA40-24-25</t>
  </si>
  <si>
    <t>A000177</t>
  </si>
  <si>
    <t>ITA25 TENSION MOTOR GROUP</t>
  </si>
  <si>
    <t>A000178</t>
  </si>
  <si>
    <t>ITA24 TENSION MOTOR GROUP</t>
  </si>
  <si>
    <t>A000179</t>
  </si>
  <si>
    <t>CONNECTING ROD ASS.Y</t>
  </si>
  <si>
    <t>WELDING GROUP ASSEMBLED</t>
  </si>
  <si>
    <t>A000181</t>
  </si>
  <si>
    <t>EXCENTRIC SHAFT ASSEMB.</t>
  </si>
  <si>
    <t>A000184</t>
  </si>
  <si>
    <t>ASSEMBLED FEEDWHEEL SUPPORT</t>
  </si>
  <si>
    <t>A000185</t>
  </si>
  <si>
    <t>CONNECTING LEVER ASS Y</t>
  </si>
  <si>
    <t>A000237</t>
  </si>
  <si>
    <t>EXCENTRIC SHAFT</t>
  </si>
  <si>
    <t>A000238</t>
  </si>
  <si>
    <t>WELDING GROUP ASSEMBLED REVIS</t>
  </si>
  <si>
    <t>A002000</t>
  </si>
  <si>
    <t>MAIN FRAME ASSY</t>
  </si>
  <si>
    <t>A002040</t>
  </si>
  <si>
    <t>A002070</t>
  </si>
  <si>
    <t>WELDING FOOT SUPPORT ASS.Y</t>
  </si>
  <si>
    <t>A004650</t>
  </si>
  <si>
    <t>A800511</t>
  </si>
  <si>
    <t>ASS. DRIVE A6030-Z25 -SERVO</t>
  </si>
  <si>
    <t>B100032</t>
  </si>
  <si>
    <t>PIPE 6X8 (Len.mtrs) (ITA 40)</t>
  </si>
  <si>
    <t>B100310</t>
  </si>
  <si>
    <t>SWING ELBOW RL31 8 1/4 (ITA 40)</t>
  </si>
  <si>
    <t>B100311</t>
  </si>
  <si>
    <t>ORING</t>
  </si>
  <si>
    <t>B200308</t>
  </si>
  <si>
    <t>FAST AIR CONN. ANI 64MF 8X10</t>
  </si>
  <si>
    <t>B300019</t>
  </si>
  <si>
    <t>O-RING GASKET RING</t>
  </si>
  <si>
    <t>B300019L</t>
  </si>
  <si>
    <t>B300022</t>
  </si>
  <si>
    <t>O-RING 3300 D85</t>
  </si>
  <si>
    <t>B300428</t>
  </si>
  <si>
    <t>O-RING 103</t>
  </si>
  <si>
    <t>B300429</t>
  </si>
  <si>
    <t>O-RING 101</t>
  </si>
  <si>
    <t>B400001</t>
  </si>
  <si>
    <t>ROLLER BEARING BK0810 (IT 10/12)</t>
  </si>
  <si>
    <t>B400003</t>
  </si>
  <si>
    <t>ROLLER HK0808</t>
  </si>
  <si>
    <t>B400186</t>
  </si>
  <si>
    <t>BEARING 61808-RS1</t>
  </si>
  <si>
    <t>B400187</t>
  </si>
  <si>
    <t>ROLLER BEARING 5X8X8</t>
  </si>
  <si>
    <t>B400188</t>
  </si>
  <si>
    <t>INA HF0812</t>
  </si>
  <si>
    <t>B400332</t>
  </si>
  <si>
    <t>609 ZZ SKF</t>
  </si>
  <si>
    <t>B400333</t>
  </si>
  <si>
    <t>BEARING 61902ZZ</t>
  </si>
  <si>
    <t>B400480</t>
  </si>
  <si>
    <t>HK1214</t>
  </si>
  <si>
    <t>B500035</t>
  </si>
  <si>
    <t>SCREW TCEI M4X10 UNI5931</t>
  </si>
  <si>
    <t>B500036L</t>
  </si>
  <si>
    <t>SCREW</t>
  </si>
  <si>
    <t>B500037</t>
  </si>
  <si>
    <t>SCREW TCEI M4X8 UNI 5931</t>
  </si>
  <si>
    <t>B500039</t>
  </si>
  <si>
    <t>SCREW TCEI UNC 10X1/2'</t>
  </si>
  <si>
    <t>B500041</t>
  </si>
  <si>
    <t>SCREW TCEI M4X30 UNI5931</t>
  </si>
  <si>
    <t>B500044</t>
  </si>
  <si>
    <t>SCREW TCEI M4X45UNI5931</t>
  </si>
  <si>
    <t>B500048</t>
  </si>
  <si>
    <t>SCREW TPSCE M4X6 UNI5933</t>
  </si>
  <si>
    <t>B500049</t>
  </si>
  <si>
    <t>SCREW TCEI M4X6 DIN 7984</t>
  </si>
  <si>
    <t>B500068</t>
  </si>
  <si>
    <t>SCREW TCEI M3X8 UNI5931</t>
  </si>
  <si>
    <t>B500092</t>
  </si>
  <si>
    <t>SCREW UNC 1/4X1-1/2" (ITA 40)</t>
  </si>
  <si>
    <t>B500140</t>
  </si>
  <si>
    <t>SCREW TCEI M5X30 UNI5931</t>
  </si>
  <si>
    <t>B500202</t>
  </si>
  <si>
    <t>VITE TCEI M4X20 UNI5931</t>
  </si>
  <si>
    <t>B500208</t>
  </si>
  <si>
    <t>SCREW TBCR BN13577 3,5X20 KA35</t>
  </si>
  <si>
    <t>B500211</t>
  </si>
  <si>
    <t>LOCK. WASHER - ITA 25</t>
  </si>
  <si>
    <t>B500214</t>
  </si>
  <si>
    <t>SCREW TPSCE M4X8UNI5933</t>
  </si>
  <si>
    <t>SCREW TCEI M3X10 UNI 5931</t>
  </si>
  <si>
    <t>B500275</t>
  </si>
  <si>
    <t>SCREW TCI M2X10 UNI 6107</t>
  </si>
  <si>
    <t>B500336</t>
  </si>
  <si>
    <t>SCREW TSPCE M4X10 UNI 5933</t>
  </si>
  <si>
    <t>B500379</t>
  </si>
  <si>
    <t>SCREW STEI M4X5 UNI 5923</t>
  </si>
  <si>
    <t>B500395</t>
  </si>
  <si>
    <t>SCREW 3.5X16</t>
  </si>
  <si>
    <t>B500418</t>
  </si>
  <si>
    <t>SCREW UNC 10-24X3/8' ANSI B18.3</t>
  </si>
  <si>
    <t>B500464</t>
  </si>
  <si>
    <t>SCHNORR W.R150 DIAM.3 - ITA 25</t>
  </si>
  <si>
    <t>B500465</t>
  </si>
  <si>
    <t>SCREW TCEI M5X14 UNI5931</t>
  </si>
  <si>
    <t>B500522</t>
  </si>
  <si>
    <t>SCREW TBCR BN13577 3,5X30 KA35</t>
  </si>
  <si>
    <t>B500523</t>
  </si>
  <si>
    <t>CYLINDER SCREW M3x6 UNI5931</t>
  </si>
  <si>
    <t>B500524</t>
  </si>
  <si>
    <t>SCREW TBIC M5X10 UNI7687</t>
  </si>
  <si>
    <t>B500548</t>
  </si>
  <si>
    <t>SCREW STEI M4X8 UNI 5923</t>
  </si>
  <si>
    <t>B600013</t>
  </si>
  <si>
    <t>CIRCLIP NACIONALES</t>
  </si>
  <si>
    <t>B600059</t>
  </si>
  <si>
    <t>CUP WASHE CB 25x12,2x1,5 (10/12)</t>
  </si>
  <si>
    <t>B600112</t>
  </si>
  <si>
    <t>WASHER PS12X18X0.5 DIN988</t>
  </si>
  <si>
    <t>B600159</t>
  </si>
  <si>
    <t>CIRCLIP A12 DIN 471</t>
  </si>
  <si>
    <t>B600189</t>
  </si>
  <si>
    <t>CIRCLIP RA3.2 DIN6799</t>
  </si>
  <si>
    <t>B600190</t>
  </si>
  <si>
    <t>CIRCLIP D8 7435</t>
  </si>
  <si>
    <t>B600192</t>
  </si>
  <si>
    <t>SAFETY CIRCLIPS D4 BN13193</t>
  </si>
  <si>
    <t>B600343</t>
  </si>
  <si>
    <t>SPRING G13-025 ISO10243</t>
  </si>
  <si>
    <t>B600345</t>
  </si>
  <si>
    <t>CIRCLIP D34 UNI 7435</t>
  </si>
  <si>
    <t>B600376</t>
  </si>
  <si>
    <t>WASHER PS 15X21X0.5</t>
  </si>
  <si>
    <t>B600389</t>
  </si>
  <si>
    <t>WASHER PS 22x30x0,2</t>
  </si>
  <si>
    <t>B600391</t>
  </si>
  <si>
    <t>WASHER PS 6X12X0.2</t>
  </si>
  <si>
    <t>B600402</t>
  </si>
  <si>
    <t>CIRCLIP RA4 UNI 7434</t>
  </si>
  <si>
    <t>B600457</t>
  </si>
  <si>
    <t>CIRCLIP D7 DIN 471</t>
  </si>
  <si>
    <t>B700101</t>
  </si>
  <si>
    <t>PIN 6X28 DIN6325</t>
  </si>
  <si>
    <t>B700103</t>
  </si>
  <si>
    <t>ELASTIC PIN 3x10 UNI6874</t>
  </si>
  <si>
    <t>B700325</t>
  </si>
  <si>
    <t>SPHERE DIAM .5MM</t>
  </si>
  <si>
    <t>B700419</t>
  </si>
  <si>
    <t>ELASTIC PIN4X20 U6874</t>
  </si>
  <si>
    <t>B700525</t>
  </si>
  <si>
    <t>PIN 6X20 ISO8735</t>
  </si>
  <si>
    <t>B800364</t>
  </si>
  <si>
    <t>ELECTRONIC POWER CARD (ITA 20)</t>
  </si>
  <si>
    <t>B800366</t>
  </si>
  <si>
    <t>KEYBOARD</t>
  </si>
  <si>
    <t>B800378</t>
  </si>
  <si>
    <t>WELDING SWITCH WITH CABLE</t>
  </si>
  <si>
    <t>B800396</t>
  </si>
  <si>
    <t>TENSION MICROSWITCH</t>
  </si>
  <si>
    <t>B800397</t>
  </si>
  <si>
    <t>POWER CABLES KIT</t>
  </si>
  <si>
    <t>B800424</t>
  </si>
  <si>
    <t>ELECTRONIC POWER CARD</t>
  </si>
  <si>
    <t>B800460</t>
  </si>
  <si>
    <t>WELDING SWITCH WITH CABLE D2FD</t>
  </si>
  <si>
    <t>B800479</t>
  </si>
  <si>
    <t>CABLE CONNECTION BACKWORDS COMPA</t>
  </si>
  <si>
    <t>B800510</t>
  </si>
  <si>
    <t>OPERATING BUTTON</t>
  </si>
  <si>
    <t>B800515</t>
  </si>
  <si>
    <t>B800530</t>
  </si>
  <si>
    <t>CONNECTION CABLE</t>
  </si>
  <si>
    <t>B800531</t>
  </si>
  <si>
    <t>ELECTRONIC SIGNALS CARD-N</t>
  </si>
  <si>
    <t>B800532</t>
  </si>
  <si>
    <t>POWER CARD ITA 24</t>
  </si>
  <si>
    <t>B800533</t>
  </si>
  <si>
    <t>POWER CARD ITA 25</t>
  </si>
  <si>
    <t>B800534</t>
  </si>
  <si>
    <t>CONNECTION CABLE-N</t>
  </si>
  <si>
    <t>B800583</t>
  </si>
  <si>
    <t>BATTERY CONNECTION CARD</t>
  </si>
  <si>
    <t>D000010</t>
  </si>
  <si>
    <t>WELDING FOOT PIN</t>
  </si>
  <si>
    <t>D000200</t>
  </si>
  <si>
    <t>FRONT GUIDESTRAP</t>
  </si>
  <si>
    <t>D000250</t>
  </si>
  <si>
    <t>D000280</t>
  </si>
  <si>
    <t>REAR GUIDESTRAP SPRING</t>
  </si>
  <si>
    <t>D000330</t>
  </si>
  <si>
    <t>FREEWHELL SUPPORT</t>
  </si>
  <si>
    <t>D000390</t>
  </si>
  <si>
    <t>LOCKING COVER</t>
  </si>
  <si>
    <t>D000400</t>
  </si>
  <si>
    <t>GEAR</t>
  </si>
  <si>
    <t>D000430</t>
  </si>
  <si>
    <t>EPICICLOIDAL GEARBOX</t>
  </si>
  <si>
    <t>D000620</t>
  </si>
  <si>
    <t>MEDIUM SPRING (ITA 10)</t>
  </si>
  <si>
    <t>D000670</t>
  </si>
  <si>
    <t>VALVE SPRING (ITA 40)</t>
  </si>
  <si>
    <t>D000780</t>
  </si>
  <si>
    <t>LOCKING STRAP PLATE (ITA 10/12)</t>
  </si>
  <si>
    <t>D001140</t>
  </si>
  <si>
    <t>TENSION SPRING BE.C</t>
  </si>
  <si>
    <t>D001250</t>
  </si>
  <si>
    <t>WELDING FOOT (ITA 10/12)</t>
  </si>
  <si>
    <t>D001260</t>
  </si>
  <si>
    <t>CUTTER (ITA 10/12)</t>
  </si>
  <si>
    <t>D001420</t>
  </si>
  <si>
    <t>SPECIAL M3 SCREW</t>
  </si>
  <si>
    <t>D001600</t>
  </si>
  <si>
    <t>PISTON (ITA 12)</t>
  </si>
  <si>
    <t>D001630</t>
  </si>
  <si>
    <t>CONNECTING ROD (ITA 10/12)</t>
  </si>
  <si>
    <t>D001650</t>
  </si>
  <si>
    <t>WELDING FOOT PIN .</t>
  </si>
  <si>
    <t>D001670</t>
  </si>
  <si>
    <t>OPENING LEVER</t>
  </si>
  <si>
    <t>D001680</t>
  </si>
  <si>
    <t>D001710</t>
  </si>
  <si>
    <t>PISTON SPRING (ITA 10/12)</t>
  </si>
  <si>
    <t>D001720</t>
  </si>
  <si>
    <t>STRONG CUTTER SPRING (ITA 12)</t>
  </si>
  <si>
    <t>D001740</t>
  </si>
  <si>
    <t>CROWN</t>
  </si>
  <si>
    <t>D001770</t>
  </si>
  <si>
    <t>SHAFT</t>
  </si>
  <si>
    <t>D001780</t>
  </si>
  <si>
    <t>SPECIAL NUT</t>
  </si>
  <si>
    <t>D001790</t>
  </si>
  <si>
    <t>FEEDWHEEL</t>
  </si>
  <si>
    <t>D001820</t>
  </si>
  <si>
    <t>SIDE GUIDE STRAP 19MM</t>
  </si>
  <si>
    <t>D001940</t>
  </si>
  <si>
    <t>SIDE GUIDESTRAP 10MM</t>
  </si>
  <si>
    <t>D001960</t>
  </si>
  <si>
    <t>REAR FRICTION PLATE (ITA 10/12)</t>
  </si>
  <si>
    <t>D001970</t>
  </si>
  <si>
    <t>FRUCTION PLATE (ITA 10/12)</t>
  </si>
  <si>
    <t>D001980</t>
  </si>
  <si>
    <t>FEEDWHEEL (ITA 10/12)</t>
  </si>
  <si>
    <t>D001990</t>
  </si>
  <si>
    <t>FRONT FRICTION PLATE (ITA 10/12)</t>
  </si>
  <si>
    <t>D002010</t>
  </si>
  <si>
    <t>WELDING FOOT</t>
  </si>
  <si>
    <t>D002020</t>
  </si>
  <si>
    <t>D002050</t>
  </si>
  <si>
    <t>D002060</t>
  </si>
  <si>
    <t>SUPPORT</t>
  </si>
  <si>
    <t>D002080</t>
  </si>
  <si>
    <t>SPRING SUPPORT</t>
  </si>
  <si>
    <t>D002120</t>
  </si>
  <si>
    <t>CUTTER</t>
  </si>
  <si>
    <t>D002130</t>
  </si>
  <si>
    <t>CUTTER GUIDE</t>
  </si>
  <si>
    <t>D002140</t>
  </si>
  <si>
    <t>COVER</t>
  </si>
  <si>
    <t>D002150</t>
  </si>
  <si>
    <t>SUPPORT FEEDWHEEL</t>
  </si>
  <si>
    <t>D002170</t>
  </si>
  <si>
    <t>D002190</t>
  </si>
  <si>
    <t>HOOK</t>
  </si>
  <si>
    <t>D002200</t>
  </si>
  <si>
    <t>D002220</t>
  </si>
  <si>
    <t>WELDING MOTOR FLANGE</t>
  </si>
  <si>
    <t>D002230</t>
  </si>
  <si>
    <t>WELDING CAM</t>
  </si>
  <si>
    <t>D002240</t>
  </si>
  <si>
    <t>SPRING SHAFT</t>
  </si>
  <si>
    <t>D002250</t>
  </si>
  <si>
    <t>D002260</t>
  </si>
  <si>
    <t>SUPPORT PIN</t>
  </si>
  <si>
    <t>D002280</t>
  </si>
  <si>
    <t>CAM PIN</t>
  </si>
  <si>
    <t>D002300</t>
  </si>
  <si>
    <t>WELDING GROUP SPRING</t>
  </si>
  <si>
    <t>D002310</t>
  </si>
  <si>
    <t>CUTTER SPRING</t>
  </si>
  <si>
    <t>D002330</t>
  </si>
  <si>
    <t>TENSION FEEDWHEEL</t>
  </si>
  <si>
    <t>D002350</t>
  </si>
  <si>
    <t>D002990</t>
  </si>
  <si>
    <t>D003100</t>
  </si>
  <si>
    <t>LEVER PA6FV V1 RAL</t>
  </si>
  <si>
    <t>D003110</t>
  </si>
  <si>
    <t>CUTTER SPRING (ITA 40)</t>
  </si>
  <si>
    <t>D003120</t>
  </si>
  <si>
    <t>SPRING (ITA 40)</t>
  </si>
  <si>
    <t>D003360</t>
  </si>
  <si>
    <t>RIGHT COVER</t>
  </si>
  <si>
    <t>D003370</t>
  </si>
  <si>
    <t>LEFT COVER</t>
  </si>
  <si>
    <t>D003380</t>
  </si>
  <si>
    <t>KEYBOARD SUPPORT</t>
  </si>
  <si>
    <t>D003390</t>
  </si>
  <si>
    <t>TENSION BUTTON</t>
  </si>
  <si>
    <t>D003450</t>
  </si>
  <si>
    <t>FEEDWHEEL GAP ADJUSTER (ITA 40)</t>
  </si>
  <si>
    <t>D003480</t>
  </si>
  <si>
    <t>ANVIL 19mm 3/4" (ITA 40)</t>
  </si>
  <si>
    <t>D003490</t>
  </si>
  <si>
    <t>ANVIL 16mm 5/8" (ITA 40)</t>
  </si>
  <si>
    <t>D003500</t>
  </si>
  <si>
    <t>ANVIL 13mm 1/2" (ITA 40)</t>
  </si>
  <si>
    <t>D003510</t>
  </si>
  <si>
    <t>LINKER (ITA 40)</t>
  </si>
  <si>
    <t>D003520</t>
  </si>
  <si>
    <t>JAW (ITA 40)</t>
  </si>
  <si>
    <t>D003540</t>
  </si>
  <si>
    <t>FRONT PLATE 13mm 1/2" (ITA 40)</t>
  </si>
  <si>
    <t>D003550</t>
  </si>
  <si>
    <t>FRONT PLATE 16mm 5/8" (ITA 40)</t>
  </si>
  <si>
    <t>D003560</t>
  </si>
  <si>
    <t>FRONT PLATE 19mm 3/4" (ITA 40)</t>
  </si>
  <si>
    <t>D003570</t>
  </si>
  <si>
    <t>REAR PLATE 13mm 1/2" (ITA 40)</t>
  </si>
  <si>
    <t>D003580</t>
  </si>
  <si>
    <t>REAR PLATE 16mm 5/8" (ITA 40)</t>
  </si>
  <si>
    <t>D003590</t>
  </si>
  <si>
    <t>REAR PLATE 19mm 3/4" (ITA 40)</t>
  </si>
  <si>
    <t>D003640</t>
  </si>
  <si>
    <t>FEEDWHEEL (ITA 40)</t>
  </si>
  <si>
    <t>D003770</t>
  </si>
  <si>
    <t>COVER GASKET (ITA 40)</t>
  </si>
  <si>
    <t>D004270</t>
  </si>
  <si>
    <t>TENSION BUTTON SPRING</t>
  </si>
  <si>
    <t>D004540</t>
  </si>
  <si>
    <t>D004560</t>
  </si>
  <si>
    <t>SPECIAL SCREW SPRING HOLDER</t>
  </si>
  <si>
    <t>D004570</t>
  </si>
  <si>
    <t>WELDING FOOT ITA11-12</t>
  </si>
  <si>
    <t>D004580</t>
  </si>
  <si>
    <t>WELDING PLATE (ITA 20)</t>
  </si>
  <si>
    <t>D004600</t>
  </si>
  <si>
    <t>WELDING PLATE</t>
  </si>
  <si>
    <t>D004610</t>
  </si>
  <si>
    <t>D004620</t>
  </si>
  <si>
    <t>D004630</t>
  </si>
  <si>
    <t>HT FRONT GUIDESTRAP</t>
  </si>
  <si>
    <t>D004640</t>
  </si>
  <si>
    <t>D004660</t>
  </si>
  <si>
    <t>REAR GUIDESTRAP PIN HT</t>
  </si>
  <si>
    <t>D004670</t>
  </si>
  <si>
    <t>WELDING MOTOR SUPPORT</t>
  </si>
  <si>
    <t>D004710</t>
  </si>
  <si>
    <t>LEVER HT-PA6FV V1</t>
  </si>
  <si>
    <t>D004720</t>
  </si>
  <si>
    <t>HT TENSION BUTTON</t>
  </si>
  <si>
    <t>D004730</t>
  </si>
  <si>
    <t>HT KEYBOARD SUPPORT</t>
  </si>
  <si>
    <t>D004740</t>
  </si>
  <si>
    <t>HT COVER</t>
  </si>
  <si>
    <t>D005260</t>
  </si>
  <si>
    <t>WELDING LEVER</t>
  </si>
  <si>
    <t>D005270</t>
  </si>
  <si>
    <t>LINKER</t>
  </si>
  <si>
    <t>D005280</t>
  </si>
  <si>
    <t>PISTON</t>
  </si>
  <si>
    <t>D005700</t>
  </si>
  <si>
    <t>LOCKING STRAP PLATE (ITA 11)</t>
  </si>
  <si>
    <t>D005860</t>
  </si>
  <si>
    <t>D005870</t>
  </si>
  <si>
    <t>D006030</t>
  </si>
  <si>
    <t>SPRING</t>
  </si>
  <si>
    <t>D006050</t>
  </si>
  <si>
    <t>TENSION FEEDWHEEL ITA25 .</t>
  </si>
  <si>
    <t>D006060</t>
  </si>
  <si>
    <t>WELDING FRAME</t>
  </si>
  <si>
    <t>D006110</t>
  </si>
  <si>
    <t>TENSION FEEDWHEEL ITA24</t>
  </si>
  <si>
    <t>WEAR PLATE</t>
  </si>
  <si>
    <t>D006130</t>
  </si>
  <si>
    <t>WELDING MOTOR FLANGE .</t>
  </si>
  <si>
    <t>D006140</t>
  </si>
  <si>
    <t>SUPPORT PIN .</t>
  </si>
  <si>
    <t>D006180</t>
  </si>
  <si>
    <t>SIDE GUIDESTRAP 16mm 5/8</t>
  </si>
  <si>
    <t>D006190</t>
  </si>
  <si>
    <t>SIDE GUIDESTRAP 19mm 3/4</t>
  </si>
  <si>
    <t>D006270</t>
  </si>
  <si>
    <t>PIN</t>
  </si>
  <si>
    <t>D006280</t>
  </si>
  <si>
    <t>REAR GUIDESTRAP PIN</t>
  </si>
  <si>
    <t>D006300</t>
  </si>
  <si>
    <t>MAIN FRAME</t>
  </si>
  <si>
    <t>D006350</t>
  </si>
  <si>
    <t>D006420</t>
  </si>
  <si>
    <t>UPPER COVER ORANGE</t>
  </si>
  <si>
    <t>D006430</t>
  </si>
  <si>
    <t>BOTTOM PLASTIC TOOL COVER</t>
  </si>
  <si>
    <t>D006440</t>
  </si>
  <si>
    <t>D006450</t>
  </si>
  <si>
    <t>HANDLE</t>
  </si>
  <si>
    <t>D006460</t>
  </si>
  <si>
    <t>D006510</t>
  </si>
  <si>
    <t>GUIDESTRAP PIN</t>
  </si>
  <si>
    <t>D006570</t>
  </si>
  <si>
    <t>D007030</t>
  </si>
  <si>
    <t>SPECIAL SCREW</t>
  </si>
  <si>
    <t>B6001-2Z</t>
  </si>
  <si>
    <t>BUSHING 6001 2Z</t>
  </si>
  <si>
    <t>SP00903</t>
  </si>
  <si>
    <t xml:space="preserve">CUTTING SET </t>
  </si>
  <si>
    <t>SP00321</t>
  </si>
  <si>
    <t>FMS, M5X8 (SUS)</t>
  </si>
  <si>
    <t>SP00018</t>
  </si>
  <si>
    <t>LEVER COMPLETE RED</t>
  </si>
  <si>
    <t>SP00023</t>
  </si>
  <si>
    <t>NOSE HOOK</t>
  </si>
  <si>
    <t>SP00048</t>
  </si>
  <si>
    <t>KNIFE COMPLETE CT-25</t>
  </si>
  <si>
    <t>SP00327</t>
  </si>
  <si>
    <t>CLAMP PLATE CTT-40</t>
  </si>
  <si>
    <t>SP00329</t>
  </si>
  <si>
    <t>SPRING FOR CLAMP</t>
  </si>
  <si>
    <t>SP00351</t>
  </si>
  <si>
    <t>KNIFE COMPLETE CT-40</t>
  </si>
  <si>
    <t>S55</t>
  </si>
  <si>
    <t>SEGUER 55</t>
  </si>
  <si>
    <t>GCT25</t>
  </si>
  <si>
    <t>GANCHOS CT25</t>
  </si>
  <si>
    <t>GCTT40</t>
  </si>
  <si>
    <t>GANCHOS CTT40</t>
  </si>
  <si>
    <t>INFORME DML SOBRE EL EQUIPO EN REVISION</t>
  </si>
  <si>
    <t>Nº Ficha</t>
  </si>
  <si>
    <t>Servicio Técnico</t>
  </si>
  <si>
    <t>Fecha de recepción Raypac:</t>
  </si>
  <si>
    <t xml:space="preserve">Comercial responsanle:  </t>
  </si>
  <si>
    <t>Nombre del Cliente:</t>
  </si>
  <si>
    <t>Equipo Recibido:</t>
  </si>
  <si>
    <t>Serie N°:</t>
  </si>
  <si>
    <t>Fecha de ingreso DML:</t>
  </si>
  <si>
    <t>Bat N°:</t>
  </si>
  <si>
    <t>Fecha de egreso DML:</t>
  </si>
  <si>
    <t>Cargador N°:</t>
  </si>
  <si>
    <t>DIAGNOSTICO DEL DEPARTAMENTO TECNICO</t>
  </si>
  <si>
    <t>OBSERVACIONES</t>
  </si>
  <si>
    <t>DIAGNOSTICO DE REPARACIÓN</t>
  </si>
  <si>
    <t>Cantidad</t>
  </si>
  <si>
    <t xml:space="preserve">Codigo </t>
  </si>
  <si>
    <t>DESCRIPCION</t>
  </si>
  <si>
    <t>N° DE CICLOS DE LA MÁQUINA CON LAS QUE SALE DE ST</t>
  </si>
  <si>
    <t>MARCAR CON UNA CRUZ LO QUE CORRESPONDA</t>
  </si>
  <si>
    <t>TIPO DE MAQUINA QUE INGRESO AL ST</t>
  </si>
  <si>
    <t>El módulo reparación Base es de tres (3hs)</t>
  </si>
  <si>
    <t>HORAS ADICIONALES DE TRABAJO</t>
  </si>
  <si>
    <t>MECANIZADO ADICIONAL REALIZADO A LA MAQUINA</t>
  </si>
  <si>
    <t>TIPO DE TRABAJO REALIZADO</t>
  </si>
  <si>
    <t>TÉCNICO RESPONSABLE DEL ST DE DML</t>
  </si>
  <si>
    <t>SERVICIO TÉCNICO- DML ELECTRICIDAD INDUSTRIAL SRL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</si>
</sst>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\ _€_-;\-* #,##0.00\ _€_-;_-* \-??\ _€_-;_-@_-"/>
    <numFmt numFmtId="179" formatCode="0000000"/>
    <numFmt numFmtId="180" formatCode="dd\-mm\-yy;@"/>
  </numFmts>
  <fonts count="51">
    <font>
      <sz val="11"/>
      <color rgb="FF000000"/>
      <name val="Calibri"/>
      <charset val="1"/>
    </font>
    <font>
      <sz val="10"/>
      <name val="Arial"/>
      <charset val="134"/>
    </font>
    <font>
      <b/>
      <u/>
      <sz val="16"/>
      <name val="Cabril"/>
      <charset val="134"/>
    </font>
    <font>
      <sz val="20"/>
      <name val="Arial"/>
      <charset val="1"/>
    </font>
    <font>
      <b/>
      <sz val="20"/>
      <name val="Arial"/>
      <charset val="1"/>
    </font>
    <font>
      <b/>
      <sz val="12"/>
      <name val="Arial"/>
      <charset val="134"/>
    </font>
    <font>
      <sz val="11"/>
      <color rgb="FF000000"/>
      <name val="Calibri"/>
      <charset val="134"/>
    </font>
    <font>
      <b/>
      <sz val="10"/>
      <name val="Arial"/>
      <charset val="134"/>
    </font>
    <font>
      <b/>
      <u/>
      <sz val="12"/>
      <name val="Arial"/>
      <charset val="134"/>
    </font>
    <font>
      <b/>
      <sz val="12"/>
      <name val="Arial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1"/>
      <name val="Arial"/>
      <charset val="134"/>
    </font>
    <font>
      <sz val="17"/>
      <color rgb="FF92D050"/>
      <name val="Calibri"/>
      <charset val="1"/>
    </font>
    <font>
      <sz val="17"/>
      <color rgb="FFFF0000"/>
      <name val="Calibri"/>
      <charset val="1"/>
    </font>
    <font>
      <b/>
      <sz val="10"/>
      <color theme="1"/>
      <name val="Arial"/>
      <charset val="134"/>
    </font>
    <font>
      <b/>
      <sz val="10"/>
      <color theme="1"/>
      <name val="Arial"/>
      <charset val="1"/>
    </font>
    <font>
      <b/>
      <sz val="20"/>
      <name val="Calibri"/>
      <charset val="134"/>
    </font>
    <font>
      <b/>
      <sz val="2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22"/>
      <color theme="0"/>
      <name val="Calibri"/>
      <charset val="134"/>
    </font>
    <font>
      <b/>
      <sz val="14"/>
      <color theme="0"/>
      <name val="Calibri"/>
      <charset val="134"/>
    </font>
    <font>
      <b/>
      <sz val="14"/>
      <color rgb="FFFFFFFF"/>
      <name val="Calibri"/>
      <charset val="134"/>
    </font>
    <font>
      <b/>
      <sz val="12"/>
      <color theme="0"/>
      <name val="Calibri"/>
      <charset val="134"/>
    </font>
    <font>
      <b/>
      <sz val="11"/>
      <color theme="0"/>
      <name val="Calibri"/>
      <charset val="134"/>
    </font>
    <font>
      <b/>
      <sz val="12"/>
      <color rgb="FF000000"/>
      <name val="Calibri"/>
      <charset val="134"/>
    </font>
    <font>
      <sz val="17"/>
      <color rgb="FF000000"/>
      <name val="Calibri"/>
      <charset val="1"/>
    </font>
    <font>
      <u/>
      <sz val="11"/>
      <color theme="10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rgb="FFCCCCFF"/>
      </patternFill>
    </fill>
    <fill>
      <patternFill patternType="solid">
        <fgColor theme="0"/>
        <bgColor rgb="FFCCCCFF"/>
      </patternFill>
    </fill>
    <fill>
      <patternFill patternType="solid">
        <fgColor theme="0"/>
        <bgColor rgb="FFFF0000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theme="6"/>
      </patternFill>
    </fill>
    <fill>
      <patternFill patternType="solid">
        <fgColor theme="0"/>
        <bgColor theme="6" tint="0.79998168889431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333300"/>
      </patternFill>
    </fill>
    <fill>
      <patternFill patternType="solid">
        <fgColor rgb="FF262626"/>
        <bgColor rgb="FF333300"/>
      </patternFill>
    </fill>
    <fill>
      <patternFill patternType="solid">
        <fgColor theme="0"/>
        <bgColor rgb="FF333300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6" tint="0.399975585192419"/>
      </top>
      <bottom style="thin">
        <color theme="6" tint="0.399975585192419"/>
      </bottom>
      <diagonal/>
    </border>
    <border>
      <left style="thin">
        <color rgb="FFA2D2B1"/>
      </left>
      <right style="thin">
        <color rgb="FFA2D2B1"/>
      </right>
      <top style="thin">
        <color rgb="FFA2D2B1"/>
      </top>
      <bottom style="thin">
        <color rgb="FFA2D2B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30" fillId="16" borderId="44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45" applyNumberFormat="0" applyFill="0" applyAlignment="0" applyProtection="0">
      <alignment vertical="center"/>
    </xf>
    <xf numFmtId="0" fontId="36" fillId="0" borderId="45" applyNumberFormat="0" applyFill="0" applyAlignment="0" applyProtection="0">
      <alignment vertical="center"/>
    </xf>
    <xf numFmtId="0" fontId="37" fillId="0" borderId="4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7" borderId="47" applyNumberFormat="0" applyAlignment="0" applyProtection="0">
      <alignment vertical="center"/>
    </xf>
    <xf numFmtId="0" fontId="39" fillId="18" borderId="48" applyNumberFormat="0" applyAlignment="0" applyProtection="0">
      <alignment vertical="center"/>
    </xf>
    <xf numFmtId="0" fontId="40" fillId="18" borderId="47" applyNumberFormat="0" applyAlignment="0" applyProtection="0">
      <alignment vertical="center"/>
    </xf>
    <xf numFmtId="0" fontId="41" fillId="19" borderId="49" applyNumberFormat="0" applyAlignment="0" applyProtection="0">
      <alignment vertical="center"/>
    </xf>
    <xf numFmtId="0" fontId="42" fillId="0" borderId="50" applyNumberFormat="0" applyFill="0" applyAlignment="0" applyProtection="0">
      <alignment vertical="center"/>
    </xf>
    <xf numFmtId="0" fontId="43" fillId="0" borderId="51" applyNumberFormat="0" applyFill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178" fontId="1" fillId="0" borderId="0" applyBorder="0" applyProtection="0"/>
    <xf numFmtId="0" fontId="1" fillId="0" borderId="0"/>
  </cellStyleXfs>
  <cellXfs count="206">
    <xf numFmtId="0" fontId="0" fillId="0" borderId="0" xfId="0"/>
    <xf numFmtId="0" fontId="1" fillId="0" borderId="0" xfId="50"/>
    <xf numFmtId="0" fontId="1" fillId="0" borderId="0" xfId="50" applyAlignment="1">
      <alignment horizontal="center"/>
    </xf>
    <xf numFmtId="0" fontId="1" fillId="0" borderId="1" xfId="50" applyBorder="1"/>
    <xf numFmtId="0" fontId="1" fillId="0" borderId="2" xfId="50" applyBorder="1" applyAlignment="1">
      <alignment horizontal="center"/>
    </xf>
    <xf numFmtId="0" fontId="1" fillId="0" borderId="2" xfId="50" applyBorder="1"/>
    <xf numFmtId="0" fontId="1" fillId="0" borderId="3" xfId="50" applyBorder="1"/>
    <xf numFmtId="0" fontId="2" fillId="0" borderId="4" xfId="50" applyFont="1" applyBorder="1" applyAlignment="1">
      <alignment horizontal="center" vertical="top" wrapText="1"/>
    </xf>
    <xf numFmtId="0" fontId="1" fillId="0" borderId="5" xfId="50" applyBorder="1"/>
    <xf numFmtId="0" fontId="1" fillId="0" borderId="6" xfId="50" applyBorder="1"/>
    <xf numFmtId="0" fontId="3" fillId="2" borderId="0" xfId="49" applyNumberFormat="1" applyFont="1" applyFill="1" applyBorder="1" applyAlignment="1" applyProtection="1">
      <alignment horizontal="center"/>
    </xf>
    <xf numFmtId="0" fontId="4" fillId="0" borderId="0" xfId="50" applyFont="1" applyAlignment="1">
      <alignment horizontal="center"/>
    </xf>
    <xf numFmtId="0" fontId="4" fillId="0" borderId="0" xfId="50" applyFont="1"/>
    <xf numFmtId="0" fontId="1" fillId="0" borderId="7" xfId="50" applyBorder="1"/>
    <xf numFmtId="0" fontId="1" fillId="0" borderId="8" xfId="50" applyBorder="1" applyAlignment="1">
      <alignment horizontal="center"/>
    </xf>
    <xf numFmtId="0" fontId="1" fillId="0" borderId="8" xfId="50" applyBorder="1"/>
    <xf numFmtId="0" fontId="1" fillId="0" borderId="9" xfId="50" applyBorder="1"/>
    <xf numFmtId="0" fontId="5" fillId="0" borderId="10" xfId="50" applyFont="1" applyBorder="1"/>
    <xf numFmtId="58" fontId="5" fillId="0" borderId="11" xfId="50" applyNumberFormat="1" applyFont="1" applyBorder="1" applyAlignment="1">
      <alignment horizontal="center"/>
    </xf>
    <xf numFmtId="58" fontId="5" fillId="2" borderId="11" xfId="50" applyNumberFormat="1" applyFont="1" applyFill="1" applyBorder="1"/>
    <xf numFmtId="0" fontId="5" fillId="0" borderId="11" xfId="50" applyFont="1" applyBorder="1"/>
    <xf numFmtId="0" fontId="5" fillId="0" borderId="12" xfId="50" applyFont="1" applyBorder="1"/>
    <xf numFmtId="0" fontId="6" fillId="3" borderId="4" xfId="0" applyFont="1" applyFill="1" applyBorder="1" applyAlignment="1">
      <alignment horizontal="left"/>
    </xf>
    <xf numFmtId="0" fontId="7" fillId="0" borderId="13" xfId="50" applyFont="1" applyBorder="1"/>
    <xf numFmtId="0" fontId="5" fillId="0" borderId="0" xfId="50" applyFont="1" applyAlignment="1">
      <alignment horizontal="center"/>
    </xf>
    <xf numFmtId="0" fontId="5" fillId="0" borderId="0" xfId="50" applyFont="1"/>
    <xf numFmtId="0" fontId="5" fillId="0" borderId="14" xfId="50" applyFont="1" applyBorder="1"/>
    <xf numFmtId="0" fontId="6" fillId="3" borderId="15" xfId="0" applyFont="1" applyFill="1" applyBorder="1" applyAlignment="1">
      <alignment horizontal="left"/>
    </xf>
    <xf numFmtId="0" fontId="6" fillId="3" borderId="16" xfId="0" applyFont="1" applyFill="1" applyBorder="1" applyAlignment="1">
      <alignment horizontal="left"/>
    </xf>
    <xf numFmtId="0" fontId="5" fillId="0" borderId="13" xfId="50" applyFont="1" applyBorder="1" applyAlignment="1">
      <alignment horizontal="left"/>
    </xf>
    <xf numFmtId="0" fontId="5" fillId="0" borderId="0" xfId="50" applyFont="1" applyAlignment="1">
      <alignment horizontal="left"/>
    </xf>
    <xf numFmtId="0" fontId="7" fillId="2" borderId="0" xfId="50" applyFont="1" applyFill="1"/>
    <xf numFmtId="0" fontId="8" fillId="0" borderId="0" xfId="50" applyFont="1"/>
    <xf numFmtId="0" fontId="5" fillId="0" borderId="13" xfId="50" applyFont="1" applyBorder="1"/>
    <xf numFmtId="0" fontId="5" fillId="0" borderId="0" xfId="50" applyFont="1" applyAlignment="1">
      <alignment horizontal="right"/>
    </xf>
    <xf numFmtId="1" fontId="7" fillId="2" borderId="14" xfId="50" applyNumberFormat="1" applyFont="1" applyFill="1" applyBorder="1"/>
    <xf numFmtId="0" fontId="7" fillId="3" borderId="0" xfId="50" applyFont="1" applyFill="1"/>
    <xf numFmtId="58" fontId="5" fillId="2" borderId="0" xfId="50" applyNumberFormat="1" applyFont="1" applyFill="1"/>
    <xf numFmtId="0" fontId="7" fillId="2" borderId="14" xfId="50" applyFont="1" applyFill="1" applyBorder="1" applyAlignment="1">
      <alignment horizontal="right"/>
    </xf>
    <xf numFmtId="58" fontId="5" fillId="3" borderId="0" xfId="50" applyNumberFormat="1" applyFont="1" applyFill="1"/>
    <xf numFmtId="0" fontId="7" fillId="3" borderId="14" xfId="50" applyFont="1" applyFill="1" applyBorder="1" applyAlignment="1">
      <alignment horizontal="right"/>
    </xf>
    <xf numFmtId="0" fontId="5" fillId="0" borderId="17" xfId="50" applyFont="1" applyBorder="1" applyAlignment="1">
      <alignment horizontal="left"/>
    </xf>
    <xf numFmtId="0" fontId="5" fillId="0" borderId="18" xfId="50" applyFont="1" applyBorder="1" applyAlignment="1">
      <alignment horizontal="left"/>
    </xf>
    <xf numFmtId="58" fontId="5" fillId="2" borderId="18" xfId="50" applyNumberFormat="1" applyFont="1" applyFill="1" applyBorder="1"/>
    <xf numFmtId="0" fontId="9" fillId="0" borderId="0" xfId="50" applyFont="1"/>
    <xf numFmtId="0" fontId="9" fillId="0" borderId="0" xfId="50" applyFont="1" applyAlignment="1">
      <alignment horizontal="center"/>
    </xf>
    <xf numFmtId="0" fontId="9" fillId="0" borderId="18" xfId="50" applyFont="1" applyBorder="1"/>
    <xf numFmtId="0" fontId="10" fillId="4" borderId="15" xfId="50" applyFont="1" applyFill="1" applyBorder="1" applyAlignment="1">
      <alignment horizontal="center"/>
    </xf>
    <xf numFmtId="0" fontId="10" fillId="4" borderId="19" xfId="50" applyFont="1" applyFill="1" applyBorder="1" applyAlignment="1">
      <alignment horizontal="center"/>
    </xf>
    <xf numFmtId="0" fontId="10" fillId="4" borderId="16" xfId="50" applyFont="1" applyFill="1" applyBorder="1" applyAlignment="1">
      <alignment horizontal="center"/>
    </xf>
    <xf numFmtId="0" fontId="7" fillId="0" borderId="10" xfId="50" applyFont="1" applyBorder="1" applyAlignment="1">
      <alignment horizontal="center" vertical="center" wrapText="1"/>
    </xf>
    <xf numFmtId="0" fontId="7" fillId="0" borderId="11" xfId="50" applyFont="1" applyBorder="1" applyAlignment="1">
      <alignment horizontal="center" vertical="center" wrapText="1"/>
    </xf>
    <xf numFmtId="0" fontId="7" fillId="0" borderId="12" xfId="50" applyFont="1" applyBorder="1" applyAlignment="1">
      <alignment horizontal="center" vertical="center" wrapText="1"/>
    </xf>
    <xf numFmtId="0" fontId="7" fillId="0" borderId="13" xfId="50" applyFont="1" applyBorder="1" applyAlignment="1">
      <alignment horizontal="center" vertical="center" wrapText="1"/>
    </xf>
    <xf numFmtId="0" fontId="7" fillId="0" borderId="0" xfId="50" applyFont="1" applyAlignment="1">
      <alignment horizontal="center" vertical="center" wrapText="1"/>
    </xf>
    <xf numFmtId="0" fontId="7" fillId="0" borderId="14" xfId="50" applyFont="1" applyBorder="1" applyAlignment="1">
      <alignment horizontal="center" vertical="center" wrapText="1"/>
    </xf>
    <xf numFmtId="0" fontId="7" fillId="0" borderId="17" xfId="50" applyFont="1" applyBorder="1" applyAlignment="1">
      <alignment horizontal="center" vertical="center" wrapText="1"/>
    </xf>
    <xf numFmtId="0" fontId="7" fillId="0" borderId="18" xfId="50" applyFont="1" applyBorder="1" applyAlignment="1">
      <alignment horizontal="center" vertical="center" wrapText="1"/>
    </xf>
    <xf numFmtId="0" fontId="7" fillId="0" borderId="20" xfId="50" applyFont="1" applyBorder="1" applyAlignment="1">
      <alignment horizontal="center" vertical="center" wrapText="1"/>
    </xf>
    <xf numFmtId="0" fontId="11" fillId="0" borderId="0" xfId="50" applyFont="1" applyAlignment="1">
      <alignment horizontal="center" vertical="top" wrapText="1"/>
    </xf>
    <xf numFmtId="1" fontId="12" fillId="0" borderId="10" xfId="50" applyNumberFormat="1" applyFont="1" applyBorder="1" applyAlignment="1">
      <alignment horizontal="center" vertical="center" wrapText="1"/>
    </xf>
    <xf numFmtId="0" fontId="12" fillId="0" borderId="11" xfId="50" applyFont="1" applyBorder="1" applyAlignment="1">
      <alignment horizontal="center" vertical="center" wrapText="1"/>
    </xf>
    <xf numFmtId="0" fontId="12" fillId="0" borderId="12" xfId="50" applyFont="1" applyBorder="1" applyAlignment="1">
      <alignment horizontal="center" vertical="center" wrapText="1"/>
    </xf>
    <xf numFmtId="1" fontId="12" fillId="0" borderId="13" xfId="50" applyNumberFormat="1" applyFont="1" applyBorder="1" applyAlignment="1">
      <alignment horizontal="center" vertical="center" wrapText="1"/>
    </xf>
    <xf numFmtId="0" fontId="12" fillId="0" borderId="0" xfId="50" applyFont="1" applyAlignment="1">
      <alignment horizontal="center" vertical="center" wrapText="1"/>
    </xf>
    <xf numFmtId="0" fontId="12" fillId="0" borderId="14" xfId="50" applyFont="1" applyBorder="1" applyAlignment="1">
      <alignment horizontal="center" vertical="center" wrapText="1"/>
    </xf>
    <xf numFmtId="0" fontId="12" fillId="0" borderId="13" xfId="50" applyFont="1" applyBorder="1" applyAlignment="1">
      <alignment horizontal="center" vertical="center" wrapText="1"/>
    </xf>
    <xf numFmtId="0" fontId="12" fillId="0" borderId="17" xfId="50" applyFont="1" applyBorder="1" applyAlignment="1">
      <alignment horizontal="center" vertical="center" wrapText="1"/>
    </xf>
    <xf numFmtId="0" fontId="12" fillId="0" borderId="18" xfId="50" applyFont="1" applyBorder="1" applyAlignment="1">
      <alignment horizontal="center" vertical="center" wrapText="1"/>
    </xf>
    <xf numFmtId="0" fontId="12" fillId="0" borderId="20" xfId="50" applyFont="1" applyBorder="1" applyAlignment="1">
      <alignment horizontal="center" vertical="center" wrapText="1"/>
    </xf>
    <xf numFmtId="1" fontId="12" fillId="5" borderId="11" xfId="50" applyNumberFormat="1" applyFont="1" applyFill="1" applyBorder="1" applyAlignment="1">
      <alignment horizontal="center" vertical="center"/>
    </xf>
    <xf numFmtId="1" fontId="12" fillId="5" borderId="0" xfId="50" applyNumberFormat="1" applyFont="1" applyFill="1" applyAlignment="1">
      <alignment horizontal="center" vertical="center"/>
    </xf>
    <xf numFmtId="1" fontId="12" fillId="5" borderId="18" xfId="50" applyNumberFormat="1" applyFont="1" applyFill="1" applyBorder="1" applyAlignment="1">
      <alignment horizontal="center" vertical="center"/>
    </xf>
    <xf numFmtId="0" fontId="1" fillId="0" borderId="0" xfId="50" applyAlignment="1">
      <alignment horizontal="justify" vertical="top"/>
    </xf>
    <xf numFmtId="0" fontId="1" fillId="0" borderId="0" xfId="50" applyAlignment="1">
      <alignment horizontal="center" vertical="top"/>
    </xf>
    <xf numFmtId="0" fontId="10" fillId="4" borderId="15" xfId="50" applyFont="1" applyFill="1" applyBorder="1" applyAlignment="1">
      <alignment horizontal="center" vertical="top"/>
    </xf>
    <xf numFmtId="0" fontId="10" fillId="4" borderId="19" xfId="50" applyFont="1" applyFill="1" applyBorder="1" applyAlignment="1">
      <alignment horizontal="center" vertical="top"/>
    </xf>
    <xf numFmtId="0" fontId="10" fillId="4" borderId="16" xfId="50" applyFont="1" applyFill="1" applyBorder="1" applyAlignment="1">
      <alignment horizontal="center" vertical="top"/>
    </xf>
    <xf numFmtId="0" fontId="1" fillId="0" borderId="4" xfId="50" applyBorder="1" applyAlignment="1">
      <alignment horizontal="center" vertical="top"/>
    </xf>
    <xf numFmtId="0" fontId="1" fillId="0" borderId="21" xfId="50" applyBorder="1" applyAlignment="1">
      <alignment horizontal="center" vertical="top"/>
    </xf>
    <xf numFmtId="1" fontId="1" fillId="0" borderId="4" xfId="50" applyNumberFormat="1" applyBorder="1" applyAlignment="1">
      <alignment horizontal="center" vertical="top"/>
    </xf>
    <xf numFmtId="1" fontId="13" fillId="0" borderId="4" xfId="50" applyNumberFormat="1" applyFont="1" applyBorder="1" applyAlignment="1">
      <alignment horizontal="center" vertical="center"/>
    </xf>
    <xf numFmtId="1" fontId="14" fillId="3" borderId="4" xfId="0" applyNumberFormat="1" applyFont="1" applyFill="1" applyBorder="1" applyAlignment="1">
      <alignment horizontal="center" vertical="center"/>
    </xf>
    <xf numFmtId="49" fontId="15" fillId="6" borderId="4" xfId="0" applyNumberFormat="1" applyFont="1" applyFill="1" applyBorder="1" applyAlignment="1">
      <alignment horizontal="center" vertical="center"/>
    </xf>
    <xf numFmtId="1" fontId="1" fillId="0" borderId="0" xfId="50" applyNumberFormat="1" applyAlignment="1">
      <alignment horizontal="center" vertical="top"/>
    </xf>
    <xf numFmtId="0" fontId="7" fillId="0" borderId="4" xfId="50" applyFont="1" applyBorder="1" applyAlignment="1">
      <alignment horizontal="left" vertical="top"/>
    </xf>
    <xf numFmtId="1" fontId="1" fillId="0" borderId="4" xfId="50" applyNumberFormat="1" applyBorder="1" applyAlignment="1">
      <alignment horizontal="center" vertical="top" wrapText="1"/>
    </xf>
    <xf numFmtId="0" fontId="1" fillId="0" borderId="4" xfId="50" applyBorder="1" applyAlignment="1">
      <alignment horizontal="center" vertical="top" wrapText="1"/>
    </xf>
    <xf numFmtId="0" fontId="7" fillId="0" borderId="0" xfId="50" applyFont="1" applyAlignment="1">
      <alignment horizontal="left" vertical="top"/>
    </xf>
    <xf numFmtId="0" fontId="1" fillId="0" borderId="0" xfId="50" applyAlignment="1">
      <alignment horizontal="center" vertical="top" wrapText="1"/>
    </xf>
    <xf numFmtId="0" fontId="7" fillId="2" borderId="22" xfId="50" applyFont="1" applyFill="1" applyBorder="1" applyAlignment="1">
      <alignment horizontal="center" vertical="top"/>
    </xf>
    <xf numFmtId="0" fontId="7" fillId="2" borderId="23" xfId="50" applyFont="1" applyFill="1" applyBorder="1" applyAlignment="1">
      <alignment horizontal="center" vertical="top"/>
    </xf>
    <xf numFmtId="0" fontId="1" fillId="0" borderId="11" xfId="50" applyBorder="1" applyAlignment="1">
      <alignment vertical="top" wrapText="1"/>
    </xf>
    <xf numFmtId="0" fontId="1" fillId="0" borderId="12" xfId="50" applyBorder="1" applyAlignment="1">
      <alignment vertical="top" wrapText="1"/>
    </xf>
    <xf numFmtId="0" fontId="1" fillId="0" borderId="0" xfId="50" applyAlignment="1">
      <alignment vertical="top" wrapText="1"/>
    </xf>
    <xf numFmtId="0" fontId="1" fillId="0" borderId="14" xfId="50" applyBorder="1" applyAlignment="1">
      <alignment vertical="top" wrapText="1"/>
    </xf>
    <xf numFmtId="0" fontId="1" fillId="0" borderId="20" xfId="50" applyBorder="1" applyAlignment="1">
      <alignment vertical="top" wrapText="1"/>
    </xf>
    <xf numFmtId="0" fontId="1" fillId="0" borderId="4" xfId="50" applyBorder="1"/>
    <xf numFmtId="0" fontId="1" fillId="0" borderId="22" xfId="50" applyBorder="1" applyAlignment="1">
      <alignment horizontal="left" vertical="top"/>
    </xf>
    <xf numFmtId="0" fontId="1" fillId="0" borderId="23" xfId="50" applyBorder="1" applyAlignment="1">
      <alignment horizontal="left" vertical="top"/>
    </xf>
    <xf numFmtId="0" fontId="16" fillId="0" borderId="23" xfId="50" applyFont="1" applyBorder="1" applyAlignment="1">
      <alignment horizontal="center" vertical="top"/>
    </xf>
    <xf numFmtId="0" fontId="16" fillId="0" borderId="24" xfId="50" applyFont="1" applyBorder="1" applyAlignment="1">
      <alignment horizontal="center" vertical="top"/>
    </xf>
    <xf numFmtId="0" fontId="1" fillId="0" borderId="22" xfId="50" applyBorder="1" applyAlignment="1">
      <alignment horizontal="center" vertical="top"/>
    </xf>
    <xf numFmtId="0" fontId="1" fillId="0" borderId="23" xfId="50" applyBorder="1" applyAlignment="1">
      <alignment horizontal="center" vertical="top"/>
    </xf>
    <xf numFmtId="0" fontId="1" fillId="0" borderId="24" xfId="50" applyBorder="1" applyAlignment="1">
      <alignment horizontal="center" vertical="top"/>
    </xf>
    <xf numFmtId="1" fontId="7" fillId="0" borderId="25" xfId="50" applyNumberFormat="1" applyFont="1" applyBorder="1" applyAlignment="1">
      <alignment horizontal="center" vertical="top"/>
    </xf>
    <xf numFmtId="0" fontId="7" fillId="0" borderId="26" xfId="50" applyFont="1" applyBorder="1" applyAlignment="1">
      <alignment horizontal="center" vertical="top"/>
    </xf>
    <xf numFmtId="0" fontId="1" fillId="0" borderId="24" xfId="50" applyBorder="1" applyAlignment="1">
      <alignment horizontal="left" vertical="top"/>
    </xf>
    <xf numFmtId="1" fontId="7" fillId="0" borderId="22" xfId="50" applyNumberFormat="1" applyFont="1" applyBorder="1" applyAlignment="1">
      <alignment horizontal="center" vertical="top"/>
    </xf>
    <xf numFmtId="1" fontId="7" fillId="0" borderId="24" xfId="50" applyNumberFormat="1" applyFont="1" applyBorder="1" applyAlignment="1">
      <alignment horizontal="center" vertical="top"/>
    </xf>
    <xf numFmtId="0" fontId="7" fillId="0" borderId="25" xfId="50" applyFont="1" applyBorder="1" applyAlignment="1">
      <alignment horizontal="center" vertical="top"/>
    </xf>
    <xf numFmtId="0" fontId="1" fillId="0" borderId="27" xfId="50" applyBorder="1" applyAlignment="1">
      <alignment horizontal="left" vertical="top"/>
    </xf>
    <xf numFmtId="0" fontId="17" fillId="3" borderId="27" xfId="50" applyFont="1" applyFill="1" applyBorder="1" applyAlignment="1">
      <alignment horizontal="center" vertical="top"/>
    </xf>
    <xf numFmtId="0" fontId="7" fillId="0" borderId="27" xfId="50" applyFont="1" applyBorder="1" applyAlignment="1">
      <alignment horizontal="center" vertical="top"/>
    </xf>
    <xf numFmtId="0" fontId="18" fillId="7" borderId="0" xfId="0" applyFont="1" applyFill="1"/>
    <xf numFmtId="0" fontId="19" fillId="8" borderId="28" xfId="0" applyFont="1" applyFill="1" applyBorder="1" applyAlignment="1">
      <alignment horizontal="center"/>
    </xf>
    <xf numFmtId="0" fontId="7" fillId="0" borderId="0" xfId="0" applyFont="1"/>
    <xf numFmtId="0" fontId="20" fillId="9" borderId="28" xfId="0" applyFont="1" applyFill="1" applyBorder="1"/>
    <xf numFmtId="0" fontId="20" fillId="3" borderId="28" xfId="0" applyFont="1" applyFill="1" applyBorder="1"/>
    <xf numFmtId="0" fontId="21" fillId="3" borderId="28" xfId="0" applyFont="1" applyFill="1" applyBorder="1"/>
    <xf numFmtId="0" fontId="20" fillId="3" borderId="29" xfId="0" applyFont="1" applyFill="1" applyBorder="1"/>
    <xf numFmtId="0" fontId="6" fillId="0" borderId="0" xfId="0" applyFont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2" fillId="10" borderId="0" xfId="0" applyFont="1" applyFill="1" applyAlignment="1">
      <alignment vertical="center"/>
    </xf>
    <xf numFmtId="179" fontId="22" fillId="10" borderId="30" xfId="0" applyNumberFormat="1" applyFont="1" applyFill="1" applyBorder="1" applyAlignment="1">
      <alignment vertical="center"/>
    </xf>
    <xf numFmtId="0" fontId="22" fillId="10" borderId="30" xfId="0" applyFont="1" applyFill="1" applyBorder="1" applyAlignment="1">
      <alignment horizontal="center" vertical="center"/>
    </xf>
    <xf numFmtId="0" fontId="22" fillId="10" borderId="31" xfId="0" applyFont="1" applyFill="1" applyBorder="1" applyAlignment="1">
      <alignment horizontal="center" vertical="center"/>
    </xf>
    <xf numFmtId="0" fontId="23" fillId="11" borderId="32" xfId="0" applyFont="1" applyFill="1" applyBorder="1" applyAlignment="1">
      <alignment horizontal="center" wrapText="1"/>
    </xf>
    <xf numFmtId="0" fontId="23" fillId="11" borderId="32" xfId="0" applyFont="1" applyFill="1" applyBorder="1"/>
    <xf numFmtId="0" fontId="24" fillId="12" borderId="33" xfId="0" applyFont="1" applyFill="1" applyBorder="1" applyAlignment="1">
      <alignment horizontal="center"/>
    </xf>
    <xf numFmtId="0" fontId="24" fillId="12" borderId="20" xfId="0" applyFont="1" applyFill="1" applyBorder="1" applyAlignment="1">
      <alignment horizontal="center"/>
    </xf>
    <xf numFmtId="1" fontId="24" fillId="12" borderId="34" xfId="0" applyNumberFormat="1" applyFont="1" applyFill="1" applyBorder="1"/>
    <xf numFmtId="0" fontId="24" fillId="12" borderId="35" xfId="0" applyFont="1" applyFill="1" applyBorder="1"/>
    <xf numFmtId="0" fontId="24" fillId="12" borderId="36" xfId="0" applyFont="1" applyFill="1" applyBorder="1" applyAlignment="1">
      <alignment horizontal="center"/>
    </xf>
    <xf numFmtId="16" fontId="0" fillId="0" borderId="4" xfId="0" applyNumberFormat="1" applyBorder="1" applyAlignment="1">
      <alignment horizontal="center"/>
    </xf>
    <xf numFmtId="0" fontId="25" fillId="13" borderId="37" xfId="0" applyFont="1" applyFill="1" applyBorder="1" applyAlignment="1">
      <alignment vertical="center"/>
    </xf>
    <xf numFmtId="0" fontId="26" fillId="10" borderId="4" xfId="0" applyFont="1" applyFill="1" applyBorder="1"/>
    <xf numFmtId="1" fontId="27" fillId="3" borderId="37" xfId="0" applyNumberFormat="1" applyFont="1" applyFill="1" applyBorder="1" applyAlignment="1">
      <alignment horizontal="center" vertical="center"/>
    </xf>
    <xf numFmtId="1" fontId="27" fillId="3" borderId="37" xfId="0" applyNumberFormat="1" applyFont="1" applyFill="1" applyBorder="1" applyAlignment="1">
      <alignment vertical="center"/>
    </xf>
    <xf numFmtId="1" fontId="26" fillId="10" borderId="4" xfId="0" applyNumberFormat="1" applyFont="1" applyFill="1" applyBorder="1"/>
    <xf numFmtId="0" fontId="0" fillId="0" borderId="4" xfId="0" applyBorder="1" applyAlignment="1">
      <alignment horizontal="center"/>
    </xf>
    <xf numFmtId="0" fontId="25" fillId="13" borderId="34" xfId="0" applyFont="1" applyFill="1" applyBorder="1" applyAlignment="1">
      <alignment vertical="center"/>
    </xf>
    <xf numFmtId="0" fontId="6" fillId="3" borderId="4" xfId="0" applyFont="1" applyFill="1" applyBorder="1"/>
    <xf numFmtId="0" fontId="6" fillId="2" borderId="4" xfId="0" applyFont="1" applyFill="1" applyBorder="1"/>
    <xf numFmtId="1" fontId="27" fillId="3" borderId="34" xfId="0" applyNumberFormat="1" applyFont="1" applyFill="1" applyBorder="1" applyAlignment="1">
      <alignment horizontal="center" vertical="center"/>
    </xf>
    <xf numFmtId="1" fontId="27" fillId="3" borderId="34" xfId="0" applyNumberFormat="1" applyFont="1" applyFill="1" applyBorder="1" applyAlignment="1">
      <alignment vertical="center"/>
    </xf>
    <xf numFmtId="1" fontId="0" fillId="3" borderId="4" xfId="0" applyNumberFormat="1" applyFill="1" applyBorder="1"/>
    <xf numFmtId="1" fontId="0" fillId="3" borderId="4" xfId="0" applyNumberFormat="1" applyFill="1" applyBorder="1" applyAlignment="1">
      <alignment horizontal="center"/>
    </xf>
    <xf numFmtId="0" fontId="25" fillId="13" borderId="38" xfId="0" applyFont="1" applyFill="1" applyBorder="1" applyAlignment="1">
      <alignment vertical="center"/>
    </xf>
    <xf numFmtId="1" fontId="27" fillId="3" borderId="38" xfId="0" applyNumberFormat="1" applyFont="1" applyFill="1" applyBorder="1" applyAlignment="1">
      <alignment horizontal="center" vertical="center"/>
    </xf>
    <xf numFmtId="1" fontId="27" fillId="3" borderId="38" xfId="0" applyNumberFormat="1" applyFont="1" applyFill="1" applyBorder="1" applyAlignment="1">
      <alignment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4" fillId="12" borderId="39" xfId="0" applyFont="1" applyFill="1" applyBorder="1" applyAlignment="1">
      <alignment horizontal="center"/>
    </xf>
    <xf numFmtId="0" fontId="24" fillId="12" borderId="40" xfId="0" applyFont="1" applyFill="1" applyBorder="1" applyAlignment="1">
      <alignment wrapText="1"/>
    </xf>
    <xf numFmtId="0" fontId="24" fillId="12" borderId="41" xfId="0" applyFont="1" applyFill="1" applyBorder="1" applyAlignment="1">
      <alignment horizontal="left" wrapText="1"/>
    </xf>
    <xf numFmtId="0" fontId="24" fillId="12" borderId="42" xfId="0" applyFont="1" applyFill="1" applyBorder="1" applyAlignment="1">
      <alignment horizontal="left" wrapText="1"/>
    </xf>
    <xf numFmtId="1" fontId="26" fillId="10" borderId="15" xfId="0" applyNumberFormat="1" applyFont="1" applyFill="1" applyBorder="1"/>
    <xf numFmtId="1" fontId="27" fillId="3" borderId="21" xfId="0" applyNumberFormat="1" applyFont="1" applyFill="1" applyBorder="1" applyAlignment="1">
      <alignment vertical="center"/>
    </xf>
    <xf numFmtId="1" fontId="27" fillId="3" borderId="43" xfId="0" applyNumberFormat="1" applyFont="1" applyFill="1" applyBorder="1" applyAlignment="1">
      <alignment horizontal="center" vertical="center"/>
    </xf>
    <xf numFmtId="1" fontId="27" fillId="3" borderId="16" xfId="0" applyNumberFormat="1" applyFont="1" applyFill="1" applyBorder="1" applyAlignment="1">
      <alignment horizontal="center" vertical="center" wrapText="1"/>
    </xf>
    <xf numFmtId="1" fontId="27" fillId="3" borderId="21" xfId="0" applyNumberFormat="1" applyFont="1" applyFill="1" applyBorder="1" applyAlignment="1">
      <alignment vertical="center" wrapText="1"/>
    </xf>
    <xf numFmtId="49" fontId="15" fillId="6" borderId="15" xfId="0" applyNumberFormat="1" applyFont="1" applyFill="1" applyBorder="1" applyAlignment="1">
      <alignment horizontal="center" vertical="center"/>
    </xf>
    <xf numFmtId="1" fontId="27" fillId="3" borderId="0" xfId="0" applyNumberFormat="1" applyFont="1" applyFill="1" applyAlignment="1">
      <alignment horizontal="center" vertical="center"/>
    </xf>
    <xf numFmtId="1" fontId="27" fillId="3" borderId="34" xfId="0" applyNumberFormat="1" applyFont="1" applyFill="1" applyBorder="1" applyAlignment="1">
      <alignment vertical="center" wrapText="1"/>
    </xf>
    <xf numFmtId="1" fontId="28" fillId="3" borderId="4" xfId="0" applyNumberFormat="1" applyFont="1" applyFill="1" applyBorder="1" applyAlignment="1">
      <alignment horizontal="center" vertical="center"/>
    </xf>
    <xf numFmtId="1" fontId="0" fillId="3" borderId="15" xfId="0" applyNumberFormat="1" applyFill="1" applyBorder="1"/>
    <xf numFmtId="1" fontId="27" fillId="3" borderId="18" xfId="0" applyNumberFormat="1" applyFont="1" applyFill="1" applyBorder="1" applyAlignment="1">
      <alignment horizontal="center" vertical="center"/>
    </xf>
    <xf numFmtId="1" fontId="27" fillId="3" borderId="38" xfId="0" applyNumberFormat="1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1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9" fillId="0" borderId="0" xfId="6"/>
    <xf numFmtId="0" fontId="22" fillId="14" borderId="18" xfId="0" applyFont="1" applyFill="1" applyBorder="1" applyAlignment="1">
      <alignment horizontal="center" vertical="center"/>
    </xf>
    <xf numFmtId="0" fontId="23" fillId="11" borderId="4" xfId="0" applyFont="1" applyFill="1" applyBorder="1"/>
    <xf numFmtId="0" fontId="24" fillId="12" borderId="15" xfId="0" applyFont="1" applyFill="1" applyBorder="1"/>
    <xf numFmtId="0" fontId="24" fillId="12" borderId="19" xfId="0" applyFont="1" applyFill="1" applyBorder="1"/>
    <xf numFmtId="0" fontId="24" fillId="12" borderId="16" xfId="0" applyFont="1" applyFill="1" applyBorder="1"/>
    <xf numFmtId="1" fontId="24" fillId="12" borderId="4" xfId="0" applyNumberFormat="1" applyFont="1" applyFill="1" applyBorder="1"/>
    <xf numFmtId="0" fontId="24" fillId="12" borderId="4" xfId="0" applyFont="1" applyFill="1" applyBorder="1"/>
    <xf numFmtId="0" fontId="0" fillId="2" borderId="4" xfId="0" applyFill="1" applyBorder="1"/>
    <xf numFmtId="180" fontId="6" fillId="2" borderId="4" xfId="0" applyNumberFormat="1" applyFont="1" applyFill="1" applyBorder="1"/>
    <xf numFmtId="1" fontId="0" fillId="2" borderId="4" xfId="0" applyNumberFormat="1" applyFill="1" applyBorder="1"/>
    <xf numFmtId="0" fontId="6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24" fillId="12" borderId="4" xfId="0" applyFont="1" applyFill="1" applyBorder="1" applyAlignment="1">
      <alignment wrapText="1"/>
    </xf>
    <xf numFmtId="0" fontId="24" fillId="12" borderId="4" xfId="0" applyFont="1" applyFill="1" applyBorder="1" applyAlignment="1">
      <alignment horizontal="left" wrapText="1"/>
    </xf>
    <xf numFmtId="0" fontId="0" fillId="2" borderId="4" xfId="0" applyFill="1" applyBorder="1" applyAlignment="1">
      <alignment wrapText="1"/>
    </xf>
    <xf numFmtId="0" fontId="0" fillId="2" borderId="4" xfId="0" applyFill="1" applyBorder="1" applyAlignment="1">
      <alignment horizontal="left" wrapText="1"/>
    </xf>
    <xf numFmtId="0" fontId="0" fillId="15" borderId="4" xfId="0" applyFill="1" applyBorder="1"/>
    <xf numFmtId="0" fontId="6" fillId="3" borderId="0" xfId="0" applyFont="1" applyFill="1"/>
    <xf numFmtId="0" fontId="29" fillId="0" borderId="0" xfId="6" applyAlignment="1">
      <alignment horizontal="left"/>
    </xf>
    <xf numFmtId="1" fontId="0" fillId="3" borderId="0" xfId="0" applyNumberFormat="1" applyFill="1"/>
    <xf numFmtId="1" fontId="6" fillId="3" borderId="0" xfId="0" applyNumberFormat="1" applyFont="1" applyFill="1"/>
    <xf numFmtId="0" fontId="0" fillId="3" borderId="0" xfId="0" applyFill="1"/>
  </cellXfs>
  <cellStyles count="51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Millares 2" xfId="49"/>
    <cellStyle name="Normal 2" xfId="50"/>
  </cellStyles>
  <dxfs count="4"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D69B"/>
      <rgbColor rgb="00808080"/>
      <rgbColor rgb="009999FF"/>
      <rgbColor rgb="00993366"/>
      <rgbColor rgb="00FFFFCC"/>
      <rgbColor rgb="00CCFFFF"/>
      <rgbColor rgb="00660066"/>
      <rgbColor rgb="00D99694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616324</xdr:colOff>
      <xdr:row>3</xdr:row>
      <xdr:rowOff>22412</xdr:rowOff>
    </xdr:from>
    <xdr:to>
      <xdr:col>0</xdr:col>
      <xdr:colOff>862853</xdr:colOff>
      <xdr:row>7</xdr:row>
      <xdr:rowOff>100853</xdr:rowOff>
    </xdr:to>
    <xdr:sp>
      <xdr:nvSpPr>
        <xdr:cNvPr id="2" name="Flecha: hacia arriba 1"/>
        <xdr:cNvSpPr/>
      </xdr:nvSpPr>
      <xdr:spPr>
        <a:xfrm>
          <a:off x="615950" y="1318260"/>
          <a:ext cx="246380" cy="84010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896470</xdr:colOff>
      <xdr:row>3</xdr:row>
      <xdr:rowOff>44825</xdr:rowOff>
    </xdr:from>
    <xdr:to>
      <xdr:col>1</xdr:col>
      <xdr:colOff>1142999</xdr:colOff>
      <xdr:row>7</xdr:row>
      <xdr:rowOff>123265</xdr:rowOff>
    </xdr:to>
    <xdr:sp>
      <xdr:nvSpPr>
        <xdr:cNvPr id="3" name="Flecha: hacia arriba 2"/>
        <xdr:cNvSpPr/>
      </xdr:nvSpPr>
      <xdr:spPr>
        <a:xfrm>
          <a:off x="2172335" y="1340485"/>
          <a:ext cx="246380" cy="84074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818029</xdr:colOff>
      <xdr:row>3</xdr:row>
      <xdr:rowOff>11206</xdr:rowOff>
    </xdr:from>
    <xdr:to>
      <xdr:col>3</xdr:col>
      <xdr:colOff>1064558</xdr:colOff>
      <xdr:row>7</xdr:row>
      <xdr:rowOff>89647</xdr:rowOff>
    </xdr:to>
    <xdr:sp>
      <xdr:nvSpPr>
        <xdr:cNvPr id="4" name="Flecha: hacia arriba 3"/>
        <xdr:cNvSpPr/>
      </xdr:nvSpPr>
      <xdr:spPr>
        <a:xfrm>
          <a:off x="6209030" y="1306830"/>
          <a:ext cx="246380" cy="84074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437029</xdr:colOff>
      <xdr:row>3</xdr:row>
      <xdr:rowOff>33617</xdr:rowOff>
    </xdr:from>
    <xdr:to>
      <xdr:col>4</xdr:col>
      <xdr:colOff>683558</xdr:colOff>
      <xdr:row>7</xdr:row>
      <xdr:rowOff>112058</xdr:rowOff>
    </xdr:to>
    <xdr:sp>
      <xdr:nvSpPr>
        <xdr:cNvPr id="5" name="Flecha: hacia arriba 4"/>
        <xdr:cNvSpPr/>
      </xdr:nvSpPr>
      <xdr:spPr>
        <a:xfrm>
          <a:off x="7704455" y="1329055"/>
          <a:ext cx="246380" cy="84074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750794</xdr:colOff>
      <xdr:row>3</xdr:row>
      <xdr:rowOff>33617</xdr:rowOff>
    </xdr:from>
    <xdr:to>
      <xdr:col>5</xdr:col>
      <xdr:colOff>997323</xdr:colOff>
      <xdr:row>7</xdr:row>
      <xdr:rowOff>112058</xdr:rowOff>
    </xdr:to>
    <xdr:sp>
      <xdr:nvSpPr>
        <xdr:cNvPr id="6" name="Flecha: hacia arriba 5"/>
        <xdr:cNvSpPr/>
      </xdr:nvSpPr>
      <xdr:spPr>
        <a:xfrm>
          <a:off x="9132570" y="1329055"/>
          <a:ext cx="246380" cy="84074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773206</xdr:colOff>
      <xdr:row>3</xdr:row>
      <xdr:rowOff>33617</xdr:rowOff>
    </xdr:from>
    <xdr:to>
      <xdr:col>7</xdr:col>
      <xdr:colOff>1019735</xdr:colOff>
      <xdr:row>7</xdr:row>
      <xdr:rowOff>112058</xdr:rowOff>
    </xdr:to>
    <xdr:sp>
      <xdr:nvSpPr>
        <xdr:cNvPr id="7" name="Flecha: hacia arriba 6"/>
        <xdr:cNvSpPr/>
      </xdr:nvSpPr>
      <xdr:spPr>
        <a:xfrm>
          <a:off x="12736195" y="1329055"/>
          <a:ext cx="246380" cy="84074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728382</xdr:colOff>
      <xdr:row>3</xdr:row>
      <xdr:rowOff>22412</xdr:rowOff>
    </xdr:from>
    <xdr:to>
      <xdr:col>6</xdr:col>
      <xdr:colOff>974911</xdr:colOff>
      <xdr:row>7</xdr:row>
      <xdr:rowOff>100853</xdr:rowOff>
    </xdr:to>
    <xdr:sp>
      <xdr:nvSpPr>
        <xdr:cNvPr id="8" name="Flecha: hacia arriba 7"/>
        <xdr:cNvSpPr/>
      </xdr:nvSpPr>
      <xdr:spPr>
        <a:xfrm>
          <a:off x="10901045" y="1318260"/>
          <a:ext cx="246380" cy="84010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739589</xdr:colOff>
      <xdr:row>3</xdr:row>
      <xdr:rowOff>22412</xdr:rowOff>
    </xdr:from>
    <xdr:to>
      <xdr:col>8</xdr:col>
      <xdr:colOff>986118</xdr:colOff>
      <xdr:row>7</xdr:row>
      <xdr:rowOff>100853</xdr:rowOff>
    </xdr:to>
    <xdr:sp>
      <xdr:nvSpPr>
        <xdr:cNvPr id="9" name="Flecha: hacia arriba 8"/>
        <xdr:cNvSpPr/>
      </xdr:nvSpPr>
      <xdr:spPr>
        <a:xfrm>
          <a:off x="14236065" y="1318260"/>
          <a:ext cx="246380" cy="84010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9</xdr:col>
      <xdr:colOff>1232647</xdr:colOff>
      <xdr:row>3</xdr:row>
      <xdr:rowOff>22412</xdr:rowOff>
    </xdr:from>
    <xdr:to>
      <xdr:col>9</xdr:col>
      <xdr:colOff>1479176</xdr:colOff>
      <xdr:row>7</xdr:row>
      <xdr:rowOff>100853</xdr:rowOff>
    </xdr:to>
    <xdr:sp>
      <xdr:nvSpPr>
        <xdr:cNvPr id="10" name="Flecha: hacia arriba 9"/>
        <xdr:cNvSpPr/>
      </xdr:nvSpPr>
      <xdr:spPr>
        <a:xfrm>
          <a:off x="16434435" y="1318260"/>
          <a:ext cx="246380" cy="84010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874059</xdr:colOff>
      <xdr:row>3</xdr:row>
      <xdr:rowOff>33617</xdr:rowOff>
    </xdr:from>
    <xdr:to>
      <xdr:col>10</xdr:col>
      <xdr:colOff>1120588</xdr:colOff>
      <xdr:row>7</xdr:row>
      <xdr:rowOff>112058</xdr:rowOff>
    </xdr:to>
    <xdr:sp>
      <xdr:nvSpPr>
        <xdr:cNvPr id="11" name="Flecha: hacia arriba 10"/>
        <xdr:cNvSpPr/>
      </xdr:nvSpPr>
      <xdr:spPr>
        <a:xfrm>
          <a:off x="18218785" y="1329055"/>
          <a:ext cx="246380" cy="84074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11</xdr:col>
      <xdr:colOff>1299882</xdr:colOff>
      <xdr:row>3</xdr:row>
      <xdr:rowOff>11206</xdr:rowOff>
    </xdr:from>
    <xdr:to>
      <xdr:col>11</xdr:col>
      <xdr:colOff>1546411</xdr:colOff>
      <xdr:row>7</xdr:row>
      <xdr:rowOff>89647</xdr:rowOff>
    </xdr:to>
    <xdr:sp>
      <xdr:nvSpPr>
        <xdr:cNvPr id="12" name="Flecha: hacia arriba 11"/>
        <xdr:cNvSpPr/>
      </xdr:nvSpPr>
      <xdr:spPr>
        <a:xfrm>
          <a:off x="20673695" y="1306830"/>
          <a:ext cx="246380" cy="84074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986118</xdr:colOff>
      <xdr:row>3</xdr:row>
      <xdr:rowOff>33618</xdr:rowOff>
    </xdr:from>
    <xdr:to>
      <xdr:col>12</xdr:col>
      <xdr:colOff>1232647</xdr:colOff>
      <xdr:row>7</xdr:row>
      <xdr:rowOff>112059</xdr:rowOff>
    </xdr:to>
    <xdr:sp>
      <xdr:nvSpPr>
        <xdr:cNvPr id="13" name="Flecha: hacia arriba 12"/>
        <xdr:cNvSpPr/>
      </xdr:nvSpPr>
      <xdr:spPr>
        <a:xfrm>
          <a:off x="23073995" y="1329055"/>
          <a:ext cx="247015" cy="84074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1524000</xdr:colOff>
      <xdr:row>3</xdr:row>
      <xdr:rowOff>0</xdr:rowOff>
    </xdr:from>
    <xdr:to>
      <xdr:col>4</xdr:col>
      <xdr:colOff>22411</xdr:colOff>
      <xdr:row>14</xdr:row>
      <xdr:rowOff>89647</xdr:rowOff>
    </xdr:to>
    <xdr:sp>
      <xdr:nvSpPr>
        <xdr:cNvPr id="14" name="Flecha: hacia abajo 13"/>
        <xdr:cNvSpPr/>
      </xdr:nvSpPr>
      <xdr:spPr>
        <a:xfrm>
          <a:off x="6915150" y="1296035"/>
          <a:ext cx="374650" cy="4166870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728383</xdr:colOff>
      <xdr:row>14</xdr:row>
      <xdr:rowOff>134470</xdr:rowOff>
    </xdr:from>
    <xdr:to>
      <xdr:col>4</xdr:col>
      <xdr:colOff>918883</xdr:colOff>
      <xdr:row>21</xdr:row>
      <xdr:rowOff>44823</xdr:rowOff>
    </xdr:to>
    <xdr:sp>
      <xdr:nvSpPr>
        <xdr:cNvPr id="15" name="Rectángulo 14"/>
        <xdr:cNvSpPr/>
      </xdr:nvSpPr>
      <xdr:spPr>
        <a:xfrm>
          <a:off x="6119495" y="5507355"/>
          <a:ext cx="2066925" cy="122301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>
              <a:solidFill>
                <a:schemeClr val="tx1"/>
              </a:solidFill>
            </a:rPr>
            <a:t>UNA</a:t>
          </a:r>
          <a:r>
            <a:rPr lang="es-AR" sz="1100" baseline="0">
              <a:solidFill>
                <a:schemeClr val="tx1"/>
              </a:solidFill>
            </a:rPr>
            <a:t> VEZ INGRESADOS TODOS LOS DATOS DE LOS CAMPOS EN AMARILLO SE GRABARÁ LA INFORMACIÓN CON UN BOTÓN DE GUARDADO Y HABILITARÁ EL CAMPO N° DE REMITO</a:t>
          </a:r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336176</xdr:colOff>
      <xdr:row>3</xdr:row>
      <xdr:rowOff>0</xdr:rowOff>
    </xdr:from>
    <xdr:to>
      <xdr:col>12</xdr:col>
      <xdr:colOff>549088</xdr:colOff>
      <xdr:row>8</xdr:row>
      <xdr:rowOff>179294</xdr:rowOff>
    </xdr:to>
    <xdr:sp>
      <xdr:nvSpPr>
        <xdr:cNvPr id="16" name="Rectángulo 15"/>
        <xdr:cNvSpPr/>
      </xdr:nvSpPr>
      <xdr:spPr>
        <a:xfrm>
          <a:off x="22424390" y="1296035"/>
          <a:ext cx="212725" cy="113157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224118</xdr:colOff>
      <xdr:row>8</xdr:row>
      <xdr:rowOff>974911</xdr:rowOff>
    </xdr:from>
    <xdr:to>
      <xdr:col>12</xdr:col>
      <xdr:colOff>649941</xdr:colOff>
      <xdr:row>15</xdr:row>
      <xdr:rowOff>123263</xdr:rowOff>
    </xdr:to>
    <xdr:sp>
      <xdr:nvSpPr>
        <xdr:cNvPr id="17" name="Flecha: hacia abajo 16"/>
        <xdr:cNvSpPr/>
      </xdr:nvSpPr>
      <xdr:spPr>
        <a:xfrm>
          <a:off x="22311995" y="3223260"/>
          <a:ext cx="426085" cy="24638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56029</xdr:colOff>
      <xdr:row>16</xdr:row>
      <xdr:rowOff>44822</xdr:rowOff>
    </xdr:from>
    <xdr:to>
      <xdr:col>13</xdr:col>
      <xdr:colOff>67234</xdr:colOff>
      <xdr:row>25</xdr:row>
      <xdr:rowOff>123265</xdr:rowOff>
    </xdr:to>
    <xdr:sp>
      <xdr:nvSpPr>
        <xdr:cNvPr id="18" name="Rectángulo 17"/>
        <xdr:cNvSpPr/>
      </xdr:nvSpPr>
      <xdr:spPr>
        <a:xfrm>
          <a:off x="22144355" y="5791835"/>
          <a:ext cx="1858645" cy="177927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>
              <a:solidFill>
                <a:schemeClr val="tx1"/>
              </a:solidFill>
            </a:rPr>
            <a:t>UNA</a:t>
          </a:r>
          <a:r>
            <a:rPr lang="es-AR" sz="1100" baseline="0">
              <a:solidFill>
                <a:schemeClr val="tx1"/>
              </a:solidFill>
            </a:rPr>
            <a:t> VEZ QUE SE HABILITA ESTE CAMPO EL RESPONSABLE DE RAYPAC INGRESARA EL N° DE REMITO CON EL QUE ENVIARÁ LAS MÁQUINAS A ST DE DML Y AL INGRESAR EL NUMERO DEBERÁ CONFIRMAR LA OPERACIÓN</a:t>
          </a:r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963705</xdr:colOff>
      <xdr:row>3</xdr:row>
      <xdr:rowOff>67236</xdr:rowOff>
    </xdr:from>
    <xdr:to>
      <xdr:col>2</xdr:col>
      <xdr:colOff>1210234</xdr:colOff>
      <xdr:row>7</xdr:row>
      <xdr:rowOff>145676</xdr:rowOff>
    </xdr:to>
    <xdr:sp>
      <xdr:nvSpPr>
        <xdr:cNvPr id="21" name="Flecha: hacia arriba 20"/>
        <xdr:cNvSpPr/>
      </xdr:nvSpPr>
      <xdr:spPr>
        <a:xfrm>
          <a:off x="4116070" y="1362710"/>
          <a:ext cx="246380" cy="84074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795619</xdr:colOff>
      <xdr:row>15</xdr:row>
      <xdr:rowOff>123266</xdr:rowOff>
    </xdr:from>
    <xdr:to>
      <xdr:col>1</xdr:col>
      <xdr:colOff>974913</xdr:colOff>
      <xdr:row>18</xdr:row>
      <xdr:rowOff>280148</xdr:rowOff>
    </xdr:to>
    <xdr:sp>
      <xdr:nvSpPr>
        <xdr:cNvPr id="4" name="Flecha: hacia arriba 3"/>
        <xdr:cNvSpPr/>
      </xdr:nvSpPr>
      <xdr:spPr>
        <a:xfrm>
          <a:off x="2271395" y="4322445"/>
          <a:ext cx="179705" cy="70739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795618</xdr:colOff>
      <xdr:row>15</xdr:row>
      <xdr:rowOff>134473</xdr:rowOff>
    </xdr:from>
    <xdr:to>
      <xdr:col>2</xdr:col>
      <xdr:colOff>963706</xdr:colOff>
      <xdr:row>18</xdr:row>
      <xdr:rowOff>302560</xdr:rowOff>
    </xdr:to>
    <xdr:sp>
      <xdr:nvSpPr>
        <xdr:cNvPr id="6" name="Flecha: hacia arriba 5"/>
        <xdr:cNvSpPr/>
      </xdr:nvSpPr>
      <xdr:spPr>
        <a:xfrm>
          <a:off x="4147820" y="4333240"/>
          <a:ext cx="168275" cy="71882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997323</xdr:colOff>
      <xdr:row>15</xdr:row>
      <xdr:rowOff>56029</xdr:rowOff>
    </xdr:from>
    <xdr:to>
      <xdr:col>3</xdr:col>
      <xdr:colOff>1232646</xdr:colOff>
      <xdr:row>18</xdr:row>
      <xdr:rowOff>347382</xdr:rowOff>
    </xdr:to>
    <xdr:sp>
      <xdr:nvSpPr>
        <xdr:cNvPr id="8" name="Flecha: hacia arriba 7"/>
        <xdr:cNvSpPr/>
      </xdr:nvSpPr>
      <xdr:spPr>
        <a:xfrm>
          <a:off x="6226175" y="4255135"/>
          <a:ext cx="235585" cy="84201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1131793</xdr:colOff>
      <xdr:row>15</xdr:row>
      <xdr:rowOff>67234</xdr:rowOff>
    </xdr:from>
    <xdr:to>
      <xdr:col>4</xdr:col>
      <xdr:colOff>1400734</xdr:colOff>
      <xdr:row>18</xdr:row>
      <xdr:rowOff>358589</xdr:rowOff>
    </xdr:to>
    <xdr:sp>
      <xdr:nvSpPr>
        <xdr:cNvPr id="12" name="Flecha: hacia arriba 11"/>
        <xdr:cNvSpPr/>
      </xdr:nvSpPr>
      <xdr:spPr>
        <a:xfrm>
          <a:off x="8361045" y="4265930"/>
          <a:ext cx="268605" cy="84201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874059</xdr:colOff>
      <xdr:row>15</xdr:row>
      <xdr:rowOff>56029</xdr:rowOff>
    </xdr:from>
    <xdr:to>
      <xdr:col>5</xdr:col>
      <xdr:colOff>1120588</xdr:colOff>
      <xdr:row>18</xdr:row>
      <xdr:rowOff>313764</xdr:rowOff>
    </xdr:to>
    <xdr:sp>
      <xdr:nvSpPr>
        <xdr:cNvPr id="14" name="Flecha: hacia arriba 13"/>
        <xdr:cNvSpPr/>
      </xdr:nvSpPr>
      <xdr:spPr>
        <a:xfrm>
          <a:off x="11284585" y="4255135"/>
          <a:ext cx="246380" cy="80835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784412</xdr:colOff>
      <xdr:row>15</xdr:row>
      <xdr:rowOff>11205</xdr:rowOff>
    </xdr:from>
    <xdr:to>
      <xdr:col>7</xdr:col>
      <xdr:colOff>1030941</xdr:colOff>
      <xdr:row>18</xdr:row>
      <xdr:rowOff>268940</xdr:rowOff>
    </xdr:to>
    <xdr:sp>
      <xdr:nvSpPr>
        <xdr:cNvPr id="16" name="Flecha: hacia arriba 15"/>
        <xdr:cNvSpPr/>
      </xdr:nvSpPr>
      <xdr:spPr>
        <a:xfrm>
          <a:off x="16395700" y="4210050"/>
          <a:ext cx="246380" cy="80835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784411</xdr:colOff>
      <xdr:row>15</xdr:row>
      <xdr:rowOff>33618</xdr:rowOff>
    </xdr:from>
    <xdr:to>
      <xdr:col>6</xdr:col>
      <xdr:colOff>1030940</xdr:colOff>
      <xdr:row>18</xdr:row>
      <xdr:rowOff>291353</xdr:rowOff>
    </xdr:to>
    <xdr:sp>
      <xdr:nvSpPr>
        <xdr:cNvPr id="18" name="Flecha: hacia arriba 17"/>
        <xdr:cNvSpPr/>
      </xdr:nvSpPr>
      <xdr:spPr>
        <a:xfrm>
          <a:off x="14214475" y="4232275"/>
          <a:ext cx="246380" cy="80835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9</xdr:col>
      <xdr:colOff>874059</xdr:colOff>
      <xdr:row>15</xdr:row>
      <xdr:rowOff>100854</xdr:rowOff>
    </xdr:from>
    <xdr:to>
      <xdr:col>9</xdr:col>
      <xdr:colOff>1120588</xdr:colOff>
      <xdr:row>18</xdr:row>
      <xdr:rowOff>358589</xdr:rowOff>
    </xdr:to>
    <xdr:sp>
      <xdr:nvSpPr>
        <xdr:cNvPr id="20" name="Flecha: hacia arriba 19"/>
        <xdr:cNvSpPr/>
      </xdr:nvSpPr>
      <xdr:spPr>
        <a:xfrm>
          <a:off x="20333335" y="4299585"/>
          <a:ext cx="246380" cy="80835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1210236</xdr:colOff>
      <xdr:row>15</xdr:row>
      <xdr:rowOff>89647</xdr:rowOff>
    </xdr:from>
    <xdr:to>
      <xdr:col>10</xdr:col>
      <xdr:colOff>1456765</xdr:colOff>
      <xdr:row>18</xdr:row>
      <xdr:rowOff>369794</xdr:rowOff>
    </xdr:to>
    <xdr:sp>
      <xdr:nvSpPr>
        <xdr:cNvPr id="22" name="Flecha: hacia arriba 21"/>
        <xdr:cNvSpPr/>
      </xdr:nvSpPr>
      <xdr:spPr>
        <a:xfrm>
          <a:off x="22698075" y="4288790"/>
          <a:ext cx="247015" cy="83058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11</xdr:col>
      <xdr:colOff>1120589</xdr:colOff>
      <xdr:row>15</xdr:row>
      <xdr:rowOff>89646</xdr:rowOff>
    </xdr:from>
    <xdr:to>
      <xdr:col>11</xdr:col>
      <xdr:colOff>1367118</xdr:colOff>
      <xdr:row>18</xdr:row>
      <xdr:rowOff>369793</xdr:rowOff>
    </xdr:to>
    <xdr:sp>
      <xdr:nvSpPr>
        <xdr:cNvPr id="26" name="Flecha: hacia arriba 25"/>
        <xdr:cNvSpPr/>
      </xdr:nvSpPr>
      <xdr:spPr>
        <a:xfrm>
          <a:off x="25323165" y="4288790"/>
          <a:ext cx="246380" cy="83058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1221441</xdr:colOff>
      <xdr:row>15</xdr:row>
      <xdr:rowOff>22412</xdr:rowOff>
    </xdr:from>
    <xdr:to>
      <xdr:col>12</xdr:col>
      <xdr:colOff>1467970</xdr:colOff>
      <xdr:row>18</xdr:row>
      <xdr:rowOff>280147</xdr:rowOff>
    </xdr:to>
    <xdr:sp>
      <xdr:nvSpPr>
        <xdr:cNvPr id="28" name="Flecha: hacia arriba 27"/>
        <xdr:cNvSpPr/>
      </xdr:nvSpPr>
      <xdr:spPr>
        <a:xfrm>
          <a:off x="26441400" y="4221480"/>
          <a:ext cx="0" cy="80835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13</xdr:col>
      <xdr:colOff>1199029</xdr:colOff>
      <xdr:row>15</xdr:row>
      <xdr:rowOff>78441</xdr:rowOff>
    </xdr:from>
    <xdr:to>
      <xdr:col>13</xdr:col>
      <xdr:colOff>1445558</xdr:colOff>
      <xdr:row>18</xdr:row>
      <xdr:rowOff>358588</xdr:rowOff>
    </xdr:to>
    <xdr:sp>
      <xdr:nvSpPr>
        <xdr:cNvPr id="31" name="Flecha: hacia arriba 30"/>
        <xdr:cNvSpPr/>
      </xdr:nvSpPr>
      <xdr:spPr>
        <a:xfrm>
          <a:off x="27640280" y="4277360"/>
          <a:ext cx="246380" cy="83058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1501588</xdr:colOff>
      <xdr:row>16</xdr:row>
      <xdr:rowOff>89647</xdr:rowOff>
    </xdr:from>
    <xdr:to>
      <xdr:col>3</xdr:col>
      <xdr:colOff>-1</xdr:colOff>
      <xdr:row>27</xdr:row>
      <xdr:rowOff>156881</xdr:rowOff>
    </xdr:to>
    <xdr:sp>
      <xdr:nvSpPr>
        <xdr:cNvPr id="32" name="Flecha: hacia abajo 31"/>
        <xdr:cNvSpPr/>
      </xdr:nvSpPr>
      <xdr:spPr>
        <a:xfrm>
          <a:off x="4853940" y="4472305"/>
          <a:ext cx="374650" cy="3989070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728383</xdr:colOff>
      <xdr:row>25</xdr:row>
      <xdr:rowOff>134469</xdr:rowOff>
    </xdr:from>
    <xdr:to>
      <xdr:col>3</xdr:col>
      <xdr:colOff>986117</xdr:colOff>
      <xdr:row>32</xdr:row>
      <xdr:rowOff>168087</xdr:rowOff>
    </xdr:to>
    <xdr:sp>
      <xdr:nvSpPr>
        <xdr:cNvPr id="33" name="Rectángulo 32"/>
        <xdr:cNvSpPr/>
      </xdr:nvSpPr>
      <xdr:spPr>
        <a:xfrm>
          <a:off x="4081145" y="8071485"/>
          <a:ext cx="2133600" cy="133223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>
              <a:solidFill>
                <a:schemeClr val="tx1"/>
              </a:solidFill>
            </a:rPr>
            <a:t>UNA</a:t>
          </a:r>
          <a:r>
            <a:rPr lang="es-AR" sz="1100" baseline="0">
              <a:solidFill>
                <a:schemeClr val="tx1"/>
              </a:solidFill>
            </a:rPr>
            <a:t> VEZ QUE LOS CAMPOS OBLIGATORIOS SE COMPLETARON (INDICADOS EN AMARILLO) SE HABILITA EL BOTÓN DE CONFIRMACIÓN Y AHI SE HABILITA LA OPCIÓN DE GENERACIÓN DE TICKET </a:t>
          </a:r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907678</xdr:colOff>
      <xdr:row>15</xdr:row>
      <xdr:rowOff>11207</xdr:rowOff>
    </xdr:from>
    <xdr:to>
      <xdr:col>14</xdr:col>
      <xdr:colOff>1355912</xdr:colOff>
      <xdr:row>19</xdr:row>
      <xdr:rowOff>672352</xdr:rowOff>
    </xdr:to>
    <xdr:sp>
      <xdr:nvSpPr>
        <xdr:cNvPr id="36" name="Flecha: hacia abajo 35"/>
        <xdr:cNvSpPr/>
      </xdr:nvSpPr>
      <xdr:spPr>
        <a:xfrm>
          <a:off x="29730065" y="4210050"/>
          <a:ext cx="435610" cy="19431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1086970</xdr:colOff>
      <xdr:row>20</xdr:row>
      <xdr:rowOff>123263</xdr:rowOff>
    </xdr:from>
    <xdr:to>
      <xdr:col>16</xdr:col>
      <xdr:colOff>661147</xdr:colOff>
      <xdr:row>23</xdr:row>
      <xdr:rowOff>750794</xdr:rowOff>
    </xdr:to>
    <xdr:sp>
      <xdr:nvSpPr>
        <xdr:cNvPr id="38" name="Rectángulo 37"/>
        <xdr:cNvSpPr/>
      </xdr:nvSpPr>
      <xdr:spPr>
        <a:xfrm>
          <a:off x="26441400" y="6366510"/>
          <a:ext cx="5423535" cy="1177925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>
              <a:solidFill>
                <a:schemeClr val="tx1"/>
              </a:solidFill>
            </a:rPr>
            <a:t>EN</a:t>
          </a:r>
          <a:r>
            <a:rPr lang="es-AR" sz="1100" baseline="0">
              <a:solidFill>
                <a:schemeClr val="tx1"/>
              </a:solidFill>
            </a:rPr>
            <a:t> ESTE CAMPO SE SELECIONA EL ESTADO Y SE INDICA CON DIFERENTES COLORES</a:t>
          </a:r>
          <a:br>
            <a:rPr lang="es-AR" sz="1100" baseline="0">
              <a:solidFill>
                <a:schemeClr val="tx1"/>
              </a:solidFill>
            </a:rPr>
          </a:br>
          <a:r>
            <a:rPr lang="es-AR" sz="1100" baseline="0">
              <a:solidFill>
                <a:schemeClr val="tx1"/>
              </a:solidFill>
            </a:rPr>
            <a:t>A LA ESPERA DE RTOS (FONDO NARANJA)</a:t>
          </a:r>
          <a:br>
            <a:rPr lang="es-AR" sz="1100" baseline="0">
              <a:solidFill>
                <a:schemeClr val="tx1"/>
              </a:solidFill>
            </a:rPr>
          </a:br>
          <a:r>
            <a:rPr lang="es-AR" sz="1100" baseline="0">
              <a:solidFill>
                <a:schemeClr val="tx1"/>
              </a:solidFill>
            </a:rPr>
            <a:t>A LA ESPERA DE REVISIÓN (FONDO BLANCO)</a:t>
          </a:r>
          <a:endParaRPr lang="es-AR" sz="1100" baseline="0">
            <a:solidFill>
              <a:schemeClr val="tx1"/>
            </a:solidFill>
          </a:endParaRPr>
        </a:p>
        <a:p>
          <a:pPr algn="ctr"/>
          <a:r>
            <a:rPr lang="es-AR" sz="1100" baseline="0">
              <a:solidFill>
                <a:schemeClr val="tx1"/>
              </a:solidFill>
            </a:rPr>
            <a:t>EN REPARACIÓN (FONDO CELESTE)</a:t>
          </a:r>
          <a:endParaRPr lang="es-AR" sz="1100" baseline="0">
            <a:solidFill>
              <a:schemeClr val="tx1"/>
            </a:solidFill>
          </a:endParaRPr>
        </a:p>
        <a:p>
          <a:pPr algn="ctr"/>
          <a:r>
            <a:rPr lang="es-AR" sz="1100" baseline="0">
              <a:solidFill>
                <a:schemeClr val="tx1"/>
              </a:solidFill>
            </a:rPr>
            <a:t>MÁQUINA LISTA PARA ENTREGAR (FONDO AMARILLO)</a:t>
          </a:r>
          <a:endParaRPr lang="es-AR" sz="1100" baseline="0">
            <a:solidFill>
              <a:schemeClr val="tx1"/>
            </a:solidFill>
          </a:endParaRPr>
        </a:p>
        <a:p>
          <a:pPr algn="ctr"/>
          <a:r>
            <a:rPr lang="es-AR" sz="1100" baseline="0">
              <a:solidFill>
                <a:schemeClr val="tx1"/>
              </a:solidFill>
            </a:rPr>
            <a:t>MÁQUINA ENTREGADA (FONDO VERDE)</a:t>
          </a:r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1008529</xdr:colOff>
      <xdr:row>3</xdr:row>
      <xdr:rowOff>11205</xdr:rowOff>
    </xdr:from>
    <xdr:to>
      <xdr:col>10</xdr:col>
      <xdr:colOff>1206558</xdr:colOff>
      <xdr:row>3</xdr:row>
      <xdr:rowOff>201706</xdr:rowOff>
    </xdr:to>
    <xdr:sp>
      <xdr:nvSpPr>
        <xdr:cNvPr id="2" name="Diagrama de flujo: unión de suma 1"/>
        <xdr:cNvSpPr/>
      </xdr:nvSpPr>
      <xdr:spPr>
        <a:xfrm>
          <a:off x="22496780" y="1383030"/>
          <a:ext cx="198120" cy="190500"/>
        </a:xfrm>
        <a:prstGeom prst="flowChartSummingJunction">
          <a:avLst/>
        </a:prstGeom>
        <a:solidFill>
          <a:srgbClr val="FF0000">
            <a:alpha val="9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>
            <a:ln>
              <a:solidFill>
                <a:srgbClr val="FF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459442</xdr:colOff>
      <xdr:row>15</xdr:row>
      <xdr:rowOff>89646</xdr:rowOff>
    </xdr:from>
    <xdr:to>
      <xdr:col>16</xdr:col>
      <xdr:colOff>705971</xdr:colOff>
      <xdr:row>18</xdr:row>
      <xdr:rowOff>347381</xdr:rowOff>
    </xdr:to>
    <xdr:sp>
      <xdr:nvSpPr>
        <xdr:cNvPr id="5" name="Flecha: hacia arriba 4"/>
        <xdr:cNvSpPr/>
      </xdr:nvSpPr>
      <xdr:spPr>
        <a:xfrm>
          <a:off x="31663005" y="4288790"/>
          <a:ext cx="246380" cy="80835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252133</xdr:colOff>
      <xdr:row>0</xdr:row>
      <xdr:rowOff>128867</xdr:rowOff>
    </xdr:from>
    <xdr:to>
      <xdr:col>2</xdr:col>
      <xdr:colOff>1417543</xdr:colOff>
      <xdr:row>0</xdr:row>
      <xdr:rowOff>341779</xdr:rowOff>
    </xdr:to>
    <xdr:sp>
      <xdr:nvSpPr>
        <xdr:cNvPr id="10" name="Flecha: hacia arriba 9"/>
        <xdr:cNvSpPr/>
      </xdr:nvSpPr>
      <xdr:spPr>
        <a:xfrm rot="16200000">
          <a:off x="4081145" y="-347345"/>
          <a:ext cx="212725" cy="116522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1580029</xdr:colOff>
      <xdr:row>0</xdr:row>
      <xdr:rowOff>11206</xdr:rowOff>
    </xdr:from>
    <xdr:to>
      <xdr:col>3</xdr:col>
      <xdr:colOff>1837763</xdr:colOff>
      <xdr:row>0</xdr:row>
      <xdr:rowOff>459441</xdr:rowOff>
    </xdr:to>
    <xdr:sp>
      <xdr:nvSpPr>
        <xdr:cNvPr id="13" name="Rectángulo 12"/>
        <xdr:cNvSpPr/>
      </xdr:nvSpPr>
      <xdr:spPr>
        <a:xfrm>
          <a:off x="4932680" y="10795"/>
          <a:ext cx="2134235" cy="44831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>
              <a:solidFill>
                <a:schemeClr val="tx1"/>
              </a:solidFill>
            </a:rPr>
            <a:t>ACA VA EL NUMERO DE FICHA DE FORMA CORRELATIVA</a:t>
          </a:r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728382</xdr:colOff>
      <xdr:row>15</xdr:row>
      <xdr:rowOff>89648</xdr:rowOff>
    </xdr:from>
    <xdr:to>
      <xdr:col>17</xdr:col>
      <xdr:colOff>974911</xdr:colOff>
      <xdr:row>18</xdr:row>
      <xdr:rowOff>347383</xdr:rowOff>
    </xdr:to>
    <xdr:sp>
      <xdr:nvSpPr>
        <xdr:cNvPr id="17" name="Flecha: hacia arriba 16"/>
        <xdr:cNvSpPr/>
      </xdr:nvSpPr>
      <xdr:spPr>
        <a:xfrm>
          <a:off x="32970470" y="4288790"/>
          <a:ext cx="246380" cy="80835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896471</xdr:colOff>
      <xdr:row>15</xdr:row>
      <xdr:rowOff>100853</xdr:rowOff>
    </xdr:from>
    <xdr:to>
      <xdr:col>8</xdr:col>
      <xdr:colOff>1143000</xdr:colOff>
      <xdr:row>18</xdr:row>
      <xdr:rowOff>358588</xdr:rowOff>
    </xdr:to>
    <xdr:sp>
      <xdr:nvSpPr>
        <xdr:cNvPr id="21" name="Flecha: hacia arriba 20"/>
        <xdr:cNvSpPr/>
      </xdr:nvSpPr>
      <xdr:spPr>
        <a:xfrm>
          <a:off x="18212435" y="4299585"/>
          <a:ext cx="247015" cy="80835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15</xdr:col>
      <xdr:colOff>403412</xdr:colOff>
      <xdr:row>15</xdr:row>
      <xdr:rowOff>100853</xdr:rowOff>
    </xdr:from>
    <xdr:to>
      <xdr:col>15</xdr:col>
      <xdr:colOff>649941</xdr:colOff>
      <xdr:row>18</xdr:row>
      <xdr:rowOff>358588</xdr:rowOff>
    </xdr:to>
    <xdr:sp>
      <xdr:nvSpPr>
        <xdr:cNvPr id="30" name="Flecha: hacia arriba 29"/>
        <xdr:cNvSpPr/>
      </xdr:nvSpPr>
      <xdr:spPr>
        <a:xfrm>
          <a:off x="30568900" y="4299585"/>
          <a:ext cx="246380" cy="80835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495360</xdr:colOff>
      <xdr:row>0</xdr:row>
      <xdr:rowOff>0</xdr:rowOff>
    </xdr:from>
    <xdr:to>
      <xdr:col>5</xdr:col>
      <xdr:colOff>133560</xdr:colOff>
      <xdr:row>0</xdr:row>
      <xdr:rowOff>360</xdr:rowOff>
    </xdr:to>
    <xdr:pic>
      <xdr:nvPicPr>
        <xdr:cNvPr id="2" name="Picture 1" descr="logofinal"/>
        <xdr:cNvPicPr/>
      </xdr:nvPicPr>
      <xdr:blipFill>
        <a:blip r:embed="rId1"/>
        <a:stretch>
          <a:fillRect/>
        </a:stretch>
      </xdr:blipFill>
      <xdr:spPr>
        <a:xfrm>
          <a:off x="5848350" y="0"/>
          <a:ext cx="571500" cy="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693420</xdr:colOff>
      <xdr:row>0</xdr:row>
      <xdr:rowOff>76320</xdr:rowOff>
    </xdr:from>
    <xdr:to>
      <xdr:col>4</xdr:col>
      <xdr:colOff>723600</xdr:colOff>
      <xdr:row>3</xdr:row>
      <xdr:rowOff>22860</xdr:rowOff>
    </xdr:to>
    <xdr:pic>
      <xdr:nvPicPr>
        <xdr:cNvPr id="3" name="Picture 2" descr="logofinal"/>
        <xdr:cNvPicPr/>
      </xdr:nvPicPr>
      <xdr:blipFill>
        <a:blip r:embed="rId2"/>
        <a:stretch>
          <a:fillRect/>
        </a:stretch>
      </xdr:blipFill>
      <xdr:spPr>
        <a:xfrm>
          <a:off x="5027295" y="76200"/>
          <a:ext cx="1049020" cy="60896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30272</xdr:colOff>
      <xdr:row>2</xdr:row>
      <xdr:rowOff>304478</xdr:rowOff>
    </xdr:from>
    <xdr:to>
      <xdr:col>1</xdr:col>
      <xdr:colOff>842749</xdr:colOff>
      <xdr:row>4</xdr:row>
      <xdr:rowOff>53980</xdr:rowOff>
    </xdr:to>
    <xdr:sp>
      <xdr:nvSpPr>
        <xdr:cNvPr id="6" name="Flecha: hacia arriba 5"/>
        <xdr:cNvSpPr/>
      </xdr:nvSpPr>
      <xdr:spPr>
        <a:xfrm rot="17566268" flipH="1">
          <a:off x="1845310" y="351790"/>
          <a:ext cx="244475" cy="80772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83891</xdr:colOff>
      <xdr:row>3</xdr:row>
      <xdr:rowOff>41945</xdr:rowOff>
    </xdr:from>
    <xdr:to>
      <xdr:col>3</xdr:col>
      <xdr:colOff>181454</xdr:colOff>
      <xdr:row>5</xdr:row>
      <xdr:rowOff>104862</xdr:rowOff>
    </xdr:to>
    <xdr:sp>
      <xdr:nvSpPr>
        <xdr:cNvPr id="13" name="Rectángulo 12"/>
        <xdr:cNvSpPr/>
      </xdr:nvSpPr>
      <xdr:spPr>
        <a:xfrm>
          <a:off x="2455545" y="704215"/>
          <a:ext cx="2059305" cy="39624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800">
              <a:solidFill>
                <a:schemeClr val="tx1"/>
              </a:solidFill>
            </a:rPr>
            <a:t>ESTE DATO SE DEBE GENERAR SÓLO Y SE DEBE INCREMENTAR</a:t>
          </a:r>
          <a:r>
            <a:rPr lang="es-AR" sz="800" baseline="0">
              <a:solidFill>
                <a:schemeClr val="tx1"/>
              </a:solidFill>
            </a:rPr>
            <a:t> CADA VEZ QUE SE GENERA UNA FICHA</a:t>
          </a:r>
          <a:endParaRPr lang="es-AR" sz="8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1008529</xdr:colOff>
      <xdr:row>48</xdr:row>
      <xdr:rowOff>11205</xdr:rowOff>
    </xdr:from>
    <xdr:to>
      <xdr:col>4</xdr:col>
      <xdr:colOff>1206558</xdr:colOff>
      <xdr:row>48</xdr:row>
      <xdr:rowOff>201706</xdr:rowOff>
    </xdr:to>
    <xdr:sp>
      <xdr:nvSpPr>
        <xdr:cNvPr id="7" name="Diagrama de flujo: unión de suma 6"/>
        <xdr:cNvSpPr/>
      </xdr:nvSpPr>
      <xdr:spPr>
        <a:xfrm>
          <a:off x="6286500" y="8997950"/>
          <a:ext cx="0" cy="190500"/>
        </a:xfrm>
        <a:prstGeom prst="flowChartSummingJunction">
          <a:avLst/>
        </a:prstGeom>
        <a:solidFill>
          <a:srgbClr val="FF0000">
            <a:alpha val="9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>
            <a:ln>
              <a:solidFill>
                <a:srgbClr val="FF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411480</xdr:colOff>
      <xdr:row>48</xdr:row>
      <xdr:rowOff>45720</xdr:rowOff>
    </xdr:from>
    <xdr:to>
      <xdr:col>4</xdr:col>
      <xdr:colOff>640080</xdr:colOff>
      <xdr:row>48</xdr:row>
      <xdr:rowOff>243840</xdr:rowOff>
    </xdr:to>
    <xdr:sp>
      <xdr:nvSpPr>
        <xdr:cNvPr id="9" name="Diagrama de flujo: unión de suma 8"/>
        <xdr:cNvSpPr/>
      </xdr:nvSpPr>
      <xdr:spPr>
        <a:xfrm>
          <a:off x="5764530" y="9032875"/>
          <a:ext cx="228600" cy="198120"/>
        </a:xfrm>
        <a:prstGeom prst="flowChartSummingJunction">
          <a:avLst/>
        </a:prstGeom>
        <a:solidFill>
          <a:srgbClr val="FF0000">
            <a:alpha val="9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>
            <a:ln>
              <a:solidFill>
                <a:srgbClr val="FF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411480</xdr:colOff>
      <xdr:row>49</xdr:row>
      <xdr:rowOff>45720</xdr:rowOff>
    </xdr:from>
    <xdr:to>
      <xdr:col>4</xdr:col>
      <xdr:colOff>640080</xdr:colOff>
      <xdr:row>49</xdr:row>
      <xdr:rowOff>243840</xdr:rowOff>
    </xdr:to>
    <xdr:sp>
      <xdr:nvSpPr>
        <xdr:cNvPr id="10" name="Diagrama de flujo: unión de suma 9"/>
        <xdr:cNvSpPr/>
      </xdr:nvSpPr>
      <xdr:spPr>
        <a:xfrm>
          <a:off x="5764530" y="9318625"/>
          <a:ext cx="228600" cy="198120"/>
        </a:xfrm>
        <a:prstGeom prst="flowChartSummingJunction">
          <a:avLst/>
        </a:prstGeom>
        <a:solidFill>
          <a:srgbClr val="FF0000">
            <a:alpha val="9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>
            <a:ln>
              <a:solidFill>
                <a:srgbClr val="FF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411480</xdr:colOff>
      <xdr:row>50</xdr:row>
      <xdr:rowOff>45720</xdr:rowOff>
    </xdr:from>
    <xdr:to>
      <xdr:col>4</xdr:col>
      <xdr:colOff>640080</xdr:colOff>
      <xdr:row>50</xdr:row>
      <xdr:rowOff>243840</xdr:rowOff>
    </xdr:to>
    <xdr:sp>
      <xdr:nvSpPr>
        <xdr:cNvPr id="11" name="Diagrama de flujo: unión de suma 10"/>
        <xdr:cNvSpPr/>
      </xdr:nvSpPr>
      <xdr:spPr>
        <a:xfrm>
          <a:off x="5764530" y="9604375"/>
          <a:ext cx="228600" cy="198120"/>
        </a:xfrm>
        <a:prstGeom prst="flowChartSummingJunction">
          <a:avLst/>
        </a:prstGeom>
        <a:solidFill>
          <a:srgbClr val="FF0000">
            <a:alpha val="9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>
            <a:ln>
              <a:solidFill>
                <a:srgbClr val="FF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411480</xdr:colOff>
      <xdr:row>51</xdr:row>
      <xdr:rowOff>45720</xdr:rowOff>
    </xdr:from>
    <xdr:to>
      <xdr:col>4</xdr:col>
      <xdr:colOff>640080</xdr:colOff>
      <xdr:row>51</xdr:row>
      <xdr:rowOff>243840</xdr:rowOff>
    </xdr:to>
    <xdr:sp>
      <xdr:nvSpPr>
        <xdr:cNvPr id="12" name="Diagrama de flujo: unión de suma 11"/>
        <xdr:cNvSpPr/>
      </xdr:nvSpPr>
      <xdr:spPr>
        <a:xfrm>
          <a:off x="5764530" y="9890125"/>
          <a:ext cx="228600" cy="198120"/>
        </a:xfrm>
        <a:prstGeom prst="flowChartSummingJunction">
          <a:avLst/>
        </a:prstGeom>
        <a:solidFill>
          <a:srgbClr val="FF0000">
            <a:alpha val="9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>
            <a:ln>
              <a:solidFill>
                <a:srgbClr val="FF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411480</xdr:colOff>
      <xdr:row>52</xdr:row>
      <xdr:rowOff>45720</xdr:rowOff>
    </xdr:from>
    <xdr:to>
      <xdr:col>4</xdr:col>
      <xdr:colOff>640080</xdr:colOff>
      <xdr:row>52</xdr:row>
      <xdr:rowOff>243840</xdr:rowOff>
    </xdr:to>
    <xdr:sp>
      <xdr:nvSpPr>
        <xdr:cNvPr id="14" name="Diagrama de flujo: unión de suma 13"/>
        <xdr:cNvSpPr/>
      </xdr:nvSpPr>
      <xdr:spPr>
        <a:xfrm>
          <a:off x="5764530" y="10175875"/>
          <a:ext cx="228600" cy="198120"/>
        </a:xfrm>
        <a:prstGeom prst="flowChartSummingJunction">
          <a:avLst/>
        </a:prstGeom>
        <a:solidFill>
          <a:srgbClr val="FF0000">
            <a:alpha val="9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>
            <a:ln>
              <a:solidFill>
                <a:srgbClr val="FF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411480</xdr:colOff>
      <xdr:row>53</xdr:row>
      <xdr:rowOff>45720</xdr:rowOff>
    </xdr:from>
    <xdr:to>
      <xdr:col>4</xdr:col>
      <xdr:colOff>640080</xdr:colOff>
      <xdr:row>53</xdr:row>
      <xdr:rowOff>243840</xdr:rowOff>
    </xdr:to>
    <xdr:sp>
      <xdr:nvSpPr>
        <xdr:cNvPr id="15" name="Diagrama de flujo: unión de suma 14"/>
        <xdr:cNvSpPr/>
      </xdr:nvSpPr>
      <xdr:spPr>
        <a:xfrm>
          <a:off x="5764530" y="10461625"/>
          <a:ext cx="228600" cy="198120"/>
        </a:xfrm>
        <a:prstGeom prst="flowChartSummingJunction">
          <a:avLst/>
        </a:prstGeom>
        <a:solidFill>
          <a:srgbClr val="FF0000">
            <a:alpha val="9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>
            <a:ln>
              <a:solidFill>
                <a:srgbClr val="FF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411480</xdr:colOff>
      <xdr:row>54</xdr:row>
      <xdr:rowOff>45720</xdr:rowOff>
    </xdr:from>
    <xdr:to>
      <xdr:col>4</xdr:col>
      <xdr:colOff>640080</xdr:colOff>
      <xdr:row>54</xdr:row>
      <xdr:rowOff>243840</xdr:rowOff>
    </xdr:to>
    <xdr:sp>
      <xdr:nvSpPr>
        <xdr:cNvPr id="16" name="Diagrama de flujo: unión de suma 15"/>
        <xdr:cNvSpPr/>
      </xdr:nvSpPr>
      <xdr:spPr>
        <a:xfrm>
          <a:off x="5764530" y="10747375"/>
          <a:ext cx="228600" cy="198120"/>
        </a:xfrm>
        <a:prstGeom prst="flowChartSummingJunction">
          <a:avLst/>
        </a:prstGeom>
        <a:solidFill>
          <a:srgbClr val="FF0000">
            <a:alpha val="9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>
            <a:ln>
              <a:solidFill>
                <a:srgbClr val="FF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411480</xdr:colOff>
      <xdr:row>55</xdr:row>
      <xdr:rowOff>45720</xdr:rowOff>
    </xdr:from>
    <xdr:to>
      <xdr:col>4</xdr:col>
      <xdr:colOff>640080</xdr:colOff>
      <xdr:row>55</xdr:row>
      <xdr:rowOff>243840</xdr:rowOff>
    </xdr:to>
    <xdr:sp>
      <xdr:nvSpPr>
        <xdr:cNvPr id="17" name="Diagrama de flujo: unión de suma 16"/>
        <xdr:cNvSpPr/>
      </xdr:nvSpPr>
      <xdr:spPr>
        <a:xfrm>
          <a:off x="5764530" y="11033125"/>
          <a:ext cx="228600" cy="198120"/>
        </a:xfrm>
        <a:prstGeom prst="flowChartSummingJunction">
          <a:avLst/>
        </a:prstGeom>
        <a:solidFill>
          <a:srgbClr val="FF0000">
            <a:alpha val="9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>
            <a:ln>
              <a:solidFill>
                <a:srgbClr val="FF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411480</xdr:colOff>
      <xdr:row>56</xdr:row>
      <xdr:rowOff>45720</xdr:rowOff>
    </xdr:from>
    <xdr:to>
      <xdr:col>4</xdr:col>
      <xdr:colOff>640080</xdr:colOff>
      <xdr:row>56</xdr:row>
      <xdr:rowOff>243840</xdr:rowOff>
    </xdr:to>
    <xdr:sp>
      <xdr:nvSpPr>
        <xdr:cNvPr id="18" name="Diagrama de flujo: unión de suma 17"/>
        <xdr:cNvSpPr/>
      </xdr:nvSpPr>
      <xdr:spPr>
        <a:xfrm>
          <a:off x="5764530" y="11318875"/>
          <a:ext cx="228600" cy="198120"/>
        </a:xfrm>
        <a:prstGeom prst="flowChartSummingJunction">
          <a:avLst/>
        </a:prstGeom>
        <a:solidFill>
          <a:srgbClr val="FF0000">
            <a:alpha val="9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>
            <a:ln>
              <a:solidFill>
                <a:srgbClr val="FF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411480</xdr:colOff>
      <xdr:row>57</xdr:row>
      <xdr:rowOff>45720</xdr:rowOff>
    </xdr:from>
    <xdr:to>
      <xdr:col>4</xdr:col>
      <xdr:colOff>640080</xdr:colOff>
      <xdr:row>57</xdr:row>
      <xdr:rowOff>243840</xdr:rowOff>
    </xdr:to>
    <xdr:sp>
      <xdr:nvSpPr>
        <xdr:cNvPr id="19" name="Diagrama de flujo: unión de suma 18"/>
        <xdr:cNvSpPr/>
      </xdr:nvSpPr>
      <xdr:spPr>
        <a:xfrm>
          <a:off x="5764530" y="11604625"/>
          <a:ext cx="228600" cy="198120"/>
        </a:xfrm>
        <a:prstGeom prst="flowChartSummingJunction">
          <a:avLst/>
        </a:prstGeom>
        <a:solidFill>
          <a:srgbClr val="FF0000">
            <a:alpha val="9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>
            <a:ln>
              <a:solidFill>
                <a:srgbClr val="FF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411480</xdr:colOff>
      <xdr:row>58</xdr:row>
      <xdr:rowOff>45720</xdr:rowOff>
    </xdr:from>
    <xdr:to>
      <xdr:col>4</xdr:col>
      <xdr:colOff>640080</xdr:colOff>
      <xdr:row>58</xdr:row>
      <xdr:rowOff>243840</xdr:rowOff>
    </xdr:to>
    <xdr:sp>
      <xdr:nvSpPr>
        <xdr:cNvPr id="20" name="Diagrama de flujo: unión de suma 19"/>
        <xdr:cNvSpPr/>
      </xdr:nvSpPr>
      <xdr:spPr>
        <a:xfrm>
          <a:off x="5764530" y="11890375"/>
          <a:ext cx="228600" cy="198120"/>
        </a:xfrm>
        <a:prstGeom prst="flowChartSummingJunction">
          <a:avLst/>
        </a:prstGeom>
        <a:solidFill>
          <a:srgbClr val="FF0000">
            <a:alpha val="9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>
            <a:ln>
              <a:solidFill>
                <a:srgbClr val="FF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411480</xdr:colOff>
      <xdr:row>59</xdr:row>
      <xdr:rowOff>45720</xdr:rowOff>
    </xdr:from>
    <xdr:to>
      <xdr:col>4</xdr:col>
      <xdr:colOff>640080</xdr:colOff>
      <xdr:row>59</xdr:row>
      <xdr:rowOff>243840</xdr:rowOff>
    </xdr:to>
    <xdr:sp>
      <xdr:nvSpPr>
        <xdr:cNvPr id="21" name="Diagrama de flujo: unión de suma 20"/>
        <xdr:cNvSpPr/>
      </xdr:nvSpPr>
      <xdr:spPr>
        <a:xfrm>
          <a:off x="5764530" y="12176125"/>
          <a:ext cx="228600" cy="198120"/>
        </a:xfrm>
        <a:prstGeom prst="flowChartSummingJunction">
          <a:avLst/>
        </a:prstGeom>
        <a:solidFill>
          <a:srgbClr val="FF0000">
            <a:alpha val="9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>
            <a:ln>
              <a:solidFill>
                <a:srgbClr val="FF0000"/>
              </a:solidFill>
            </a:ln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paola.isabelli@raypac.net" TargetMode="External"/><Relationship Id="rId8" Type="http://schemas.openxmlformats.org/officeDocument/2006/relationships/hyperlink" Target="mailto:luciana.gregorio@raypac.net" TargetMode="External"/><Relationship Id="rId7" Type="http://schemas.openxmlformats.org/officeDocument/2006/relationships/hyperlink" Target="mailto:daniela.sofio@raypac.net" TargetMode="External"/><Relationship Id="rId6" Type="http://schemas.openxmlformats.org/officeDocument/2006/relationships/hyperlink" Target="mailto:matias.chaubell@raypac.net" TargetMode="External"/><Relationship Id="rId5" Type="http://schemas.openxmlformats.org/officeDocument/2006/relationships/hyperlink" Target="mailto:romina.gamarra@raypac.net" TargetMode="External"/><Relationship Id="rId4" Type="http://schemas.openxmlformats.org/officeDocument/2006/relationships/hyperlink" Target="mailto:luciana.paradiso@raypac.net" TargetMode="External"/><Relationship Id="rId3" Type="http://schemas.openxmlformats.org/officeDocument/2006/relationships/hyperlink" Target="mailto:ezequiel.pacheco@raypac.net" TargetMode="External"/><Relationship Id="rId2" Type="http://schemas.openxmlformats.org/officeDocument/2006/relationships/hyperlink" Target="mailto:leonardo.gastager@raypac.net" TargetMode="External"/><Relationship Id="rId10" Type="http://schemas.openxmlformats.org/officeDocument/2006/relationships/hyperlink" Target="mailto:hernan.rivero@raypac.net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4"/>
  <dimension ref="A1:U41"/>
  <sheetViews>
    <sheetView zoomScale="70" zoomScaleNormal="70" topLeftCell="G1" workbookViewId="0">
      <pane ySplit="2" topLeftCell="A3" activePane="bottomLeft" state="frozen"/>
      <selection/>
      <selection pane="bottomLeft" activeCell="L14" sqref="L14"/>
    </sheetView>
  </sheetViews>
  <sheetFormatPr defaultColWidth="10.7142857142857" defaultRowHeight="15"/>
  <cols>
    <col min="1" max="1" width="19.1428571428571" customWidth="1"/>
    <col min="2" max="2" width="28.1428571428571" style="121" customWidth="1"/>
    <col min="3" max="3" width="33.5714285714286" style="121" customWidth="1"/>
    <col min="4" max="4" width="28.1428571428571" style="121" customWidth="1"/>
    <col min="5" max="5" width="16.7142857142857" style="122" customWidth="1"/>
    <col min="6" max="7" width="26.8571428571429" customWidth="1"/>
    <col min="8" max="8" width="23" customWidth="1"/>
    <col min="9" max="9" width="25.5714285714286" customWidth="1"/>
    <col min="10" max="10" width="32.1428571428571" style="123" customWidth="1"/>
    <col min="11" max="11" width="30.4285714285714" style="123" customWidth="1"/>
    <col min="12" max="12" width="40.7142857142857" style="124" customWidth="1"/>
    <col min="13" max="13" width="27.7142857142857" customWidth="1"/>
    <col min="14" max="14" width="2.71428571428571" customWidth="1"/>
    <col min="15" max="15" width="15.5714285714286" customWidth="1"/>
    <col min="16" max="16" width="39.1428571428571" customWidth="1"/>
    <col min="17" max="17" width="38.1428571428571" customWidth="1"/>
    <col min="18" max="18" width="25.2857142857143" customWidth="1"/>
    <col min="19" max="19" width="14.4285714285714" customWidth="1"/>
    <col min="20" max="20" width="20.7142857142857" customWidth="1"/>
    <col min="21" max="21" width="22.4285714285714" customWidth="1"/>
  </cols>
  <sheetData>
    <row r="1" ht="38.45" customHeight="1" spans="1:13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</row>
    <row r="2" ht="43.15" customHeight="1" spans="1:13">
      <c r="A2" s="185" t="s">
        <v>1</v>
      </c>
      <c r="B2" s="186" t="s">
        <v>2</v>
      </c>
      <c r="C2" s="187" t="s">
        <v>3</v>
      </c>
      <c r="D2" s="188" t="s">
        <v>4</v>
      </c>
      <c r="E2" s="189" t="s">
        <v>5</v>
      </c>
      <c r="F2" s="190" t="s">
        <v>6</v>
      </c>
      <c r="G2" s="190" t="s">
        <v>7</v>
      </c>
      <c r="H2" s="190" t="s">
        <v>8</v>
      </c>
      <c r="I2" s="190" t="s">
        <v>9</v>
      </c>
      <c r="J2" s="196" t="s">
        <v>10</v>
      </c>
      <c r="K2" s="196" t="s">
        <v>11</v>
      </c>
      <c r="L2" s="197" t="s">
        <v>12</v>
      </c>
      <c r="M2" s="197" t="s">
        <v>13</v>
      </c>
    </row>
    <row r="3" ht="20.45" customHeight="1" spans="1:21">
      <c r="A3" s="191">
        <v>1</v>
      </c>
      <c r="B3" s="192">
        <v>45885</v>
      </c>
      <c r="C3" s="145" t="s">
        <v>14</v>
      </c>
      <c r="D3" s="145" t="s">
        <v>15</v>
      </c>
      <c r="E3" s="193">
        <v>24000052</v>
      </c>
      <c r="F3" s="191" t="s">
        <v>16</v>
      </c>
      <c r="G3" s="191" t="s">
        <v>17</v>
      </c>
      <c r="H3" s="191" t="s">
        <v>18</v>
      </c>
      <c r="I3" s="191" t="s">
        <v>18</v>
      </c>
      <c r="J3" s="198" t="s">
        <v>19</v>
      </c>
      <c r="K3" s="198" t="s">
        <v>20</v>
      </c>
      <c r="L3" s="199" t="s">
        <v>21</v>
      </c>
      <c r="M3" s="200">
        <v>2561</v>
      </c>
      <c r="R3" t="s">
        <v>22</v>
      </c>
      <c r="S3" t="s">
        <v>18</v>
      </c>
      <c r="T3" s="201" t="s">
        <v>23</v>
      </c>
      <c r="U3" t="s">
        <v>14</v>
      </c>
    </row>
    <row r="4" spans="18:21">
      <c r="R4" t="s">
        <v>24</v>
      </c>
      <c r="T4" s="201" t="s">
        <v>25</v>
      </c>
      <c r="U4" t="s">
        <v>26</v>
      </c>
    </row>
    <row r="5" spans="16:20">
      <c r="P5" t="s">
        <v>20</v>
      </c>
      <c r="Q5" s="183" t="s">
        <v>21</v>
      </c>
      <c r="R5" t="s">
        <v>27</v>
      </c>
      <c r="S5" t="s">
        <v>17</v>
      </c>
      <c r="T5" s="201" t="s">
        <v>28</v>
      </c>
    </row>
    <row r="6" spans="16:20">
      <c r="P6" t="s">
        <v>29</v>
      </c>
      <c r="Q6" s="183" t="s">
        <v>30</v>
      </c>
      <c r="R6" t="s">
        <v>31</v>
      </c>
      <c r="S6" t="s">
        <v>32</v>
      </c>
      <c r="T6" s="201" t="s">
        <v>15</v>
      </c>
    </row>
    <row r="7" spans="16:20">
      <c r="P7" t="s">
        <v>33</v>
      </c>
      <c r="Q7" s="183" t="s">
        <v>34</v>
      </c>
      <c r="R7" t="s">
        <v>35</v>
      </c>
      <c r="S7" t="s">
        <v>36</v>
      </c>
      <c r="T7" s="201" t="s">
        <v>37</v>
      </c>
    </row>
    <row r="8" spans="16:20">
      <c r="P8" t="s">
        <v>38</v>
      </c>
      <c r="Q8" s="183" t="s">
        <v>39</v>
      </c>
      <c r="R8" t="s">
        <v>40</v>
      </c>
      <c r="S8" t="s">
        <v>41</v>
      </c>
      <c r="T8" s="201" t="s">
        <v>42</v>
      </c>
    </row>
    <row r="9" ht="110.45" customHeight="1" spans="1:20">
      <c r="A9" s="156" t="s">
        <v>43</v>
      </c>
      <c r="B9" s="194" t="s">
        <v>44</v>
      </c>
      <c r="C9" s="194" t="s">
        <v>45</v>
      </c>
      <c r="D9" s="154" t="s">
        <v>46</v>
      </c>
      <c r="E9" s="155" t="s">
        <v>47</v>
      </c>
      <c r="F9" s="156" t="s">
        <v>48</v>
      </c>
      <c r="G9" s="156" t="s">
        <v>49</v>
      </c>
      <c r="H9" s="156" t="s">
        <v>50</v>
      </c>
      <c r="I9" s="156" t="s">
        <v>51</v>
      </c>
      <c r="J9" s="156" t="s">
        <v>52</v>
      </c>
      <c r="K9" s="156" t="s">
        <v>53</v>
      </c>
      <c r="L9" s="156" t="s">
        <v>54</v>
      </c>
      <c r="M9" s="156" t="s">
        <v>55</v>
      </c>
      <c r="P9" s="124" t="s">
        <v>56</v>
      </c>
      <c r="Q9" s="202" t="s">
        <v>57</v>
      </c>
      <c r="R9" t="s">
        <v>58</v>
      </c>
      <c r="T9" s="201" t="s">
        <v>59</v>
      </c>
    </row>
    <row r="10" spans="16:20">
      <c r="P10" t="s">
        <v>60</v>
      </c>
      <c r="Q10" s="183" t="s">
        <v>61</v>
      </c>
      <c r="R10" t="s">
        <v>62</v>
      </c>
      <c r="T10" s="201" t="s">
        <v>63</v>
      </c>
    </row>
    <row r="11" spans="16:20">
      <c r="P11" t="s">
        <v>64</v>
      </c>
      <c r="Q11" s="183" t="s">
        <v>65</v>
      </c>
      <c r="R11" t="s">
        <v>66</v>
      </c>
      <c r="T11" s="201" t="s">
        <v>67</v>
      </c>
    </row>
    <row r="12" spans="16:20">
      <c r="P12" t="s">
        <v>68</v>
      </c>
      <c r="Q12" s="183" t="s">
        <v>69</v>
      </c>
      <c r="R12" t="s">
        <v>70</v>
      </c>
      <c r="T12" s="201" t="s">
        <v>71</v>
      </c>
    </row>
    <row r="13" ht="75.6" customHeight="1" spans="16:20">
      <c r="P13" t="s">
        <v>72</v>
      </c>
      <c r="Q13" s="183" t="s">
        <v>73</v>
      </c>
      <c r="R13" t="s">
        <v>74</v>
      </c>
      <c r="T13" s="201" t="s">
        <v>75</v>
      </c>
    </row>
    <row r="14" spans="18:20">
      <c r="R14" t="s">
        <v>16</v>
      </c>
      <c r="T14" s="201" t="s">
        <v>76</v>
      </c>
    </row>
    <row r="15" spans="18:20">
      <c r="R15" t="s">
        <v>77</v>
      </c>
      <c r="T15" s="201" t="s">
        <v>78</v>
      </c>
    </row>
    <row r="16" ht="14.45" customHeight="1" spans="20:20">
      <c r="T16" s="201" t="s">
        <v>79</v>
      </c>
    </row>
    <row r="17" ht="14.45" customHeight="1" spans="6:20">
      <c r="F17" s="195" t="s">
        <v>80</v>
      </c>
      <c r="G17" s="195"/>
      <c r="H17" s="195"/>
      <c r="T17" s="201" t="s">
        <v>81</v>
      </c>
    </row>
    <row r="18" ht="14.45" customHeight="1" spans="6:20">
      <c r="F18" s="195"/>
      <c r="G18" s="195"/>
      <c r="H18" s="195"/>
      <c r="T18" s="201" t="s">
        <v>82</v>
      </c>
    </row>
    <row r="19" spans="6:20">
      <c r="F19" s="195"/>
      <c r="G19" s="195"/>
      <c r="H19" s="195"/>
      <c r="K19" s="157" t="s">
        <v>83</v>
      </c>
      <c r="L19" s="158"/>
      <c r="T19" s="203" t="s">
        <v>84</v>
      </c>
    </row>
    <row r="20" spans="6:20">
      <c r="F20" s="123"/>
      <c r="G20" s="123"/>
      <c r="K20" s="159"/>
      <c r="L20" s="160"/>
      <c r="T20" s="201" t="s">
        <v>85</v>
      </c>
    </row>
    <row r="21" spans="6:20">
      <c r="F21" s="123"/>
      <c r="G21" s="123"/>
      <c r="K21" s="161"/>
      <c r="L21" s="162"/>
      <c r="T21" s="201" t="s">
        <v>86</v>
      </c>
    </row>
    <row r="22" spans="20:20">
      <c r="T22" s="201" t="s">
        <v>87</v>
      </c>
    </row>
    <row r="23" spans="20:20">
      <c r="T23" s="201" t="s">
        <v>88</v>
      </c>
    </row>
    <row r="24" spans="20:20">
      <c r="T24" s="201" t="s">
        <v>89</v>
      </c>
    </row>
    <row r="25" spans="20:20">
      <c r="T25" s="201" t="s">
        <v>90</v>
      </c>
    </row>
    <row r="26" spans="20:20">
      <c r="T26" s="204" t="s">
        <v>91</v>
      </c>
    </row>
    <row r="27" spans="20:20">
      <c r="T27" s="201" t="s">
        <v>92</v>
      </c>
    </row>
    <row r="28" spans="20:20">
      <c r="T28" s="205" t="s">
        <v>93</v>
      </c>
    </row>
    <row r="29" spans="20:20">
      <c r="T29" s="201" t="s">
        <v>94</v>
      </c>
    </row>
    <row r="30" spans="20:20">
      <c r="T30" s="201" t="s">
        <v>95</v>
      </c>
    </row>
    <row r="31" spans="20:20">
      <c r="T31" s="201" t="s">
        <v>96</v>
      </c>
    </row>
    <row r="32" spans="20:20">
      <c r="T32" s="201" t="s">
        <v>97</v>
      </c>
    </row>
    <row r="33" spans="20:20">
      <c r="T33" s="201" t="s">
        <v>98</v>
      </c>
    </row>
    <row r="34" spans="20:20">
      <c r="T34" s="201" t="s">
        <v>99</v>
      </c>
    </row>
    <row r="35" spans="20:20">
      <c r="T35" s="201" t="s">
        <v>100</v>
      </c>
    </row>
    <row r="36" spans="20:20">
      <c r="T36" s="201" t="s">
        <v>101</v>
      </c>
    </row>
    <row r="37" spans="20:20">
      <c r="T37" s="201" t="s">
        <v>102</v>
      </c>
    </row>
    <row r="38" spans="20:20">
      <c r="T38" s="201" t="s">
        <v>103</v>
      </c>
    </row>
    <row r="39" spans="20:20">
      <c r="T39" s="201" t="s">
        <v>104</v>
      </c>
    </row>
    <row r="40" spans="20:20">
      <c r="T40" s="201" t="s">
        <v>105</v>
      </c>
    </row>
    <row r="41" spans="20:20">
      <c r="T41" s="201" t="s">
        <v>106</v>
      </c>
    </row>
  </sheetData>
  <mergeCells count="3">
    <mergeCell ref="A1:M1"/>
    <mergeCell ref="K19:L21"/>
    <mergeCell ref="F17:H19"/>
  </mergeCells>
  <dataValidations count="7">
    <dataValidation type="list" allowBlank="1" showInputMessage="1" showErrorMessage="1" sqref="C3">
      <formula1>$U$3:$U$4</formula1>
    </dataValidation>
    <dataValidation type="list" allowBlank="1" showInputMessage="1" showErrorMessage="1" sqref="D3">
      <formula1>$T$3:$T$40</formula1>
    </dataValidation>
    <dataValidation type="list" allowBlank="1" showInputMessage="1" showErrorMessage="1" sqref="F3">
      <formula1>$R$3:$R$15</formula1>
    </dataValidation>
    <dataValidation type="list" allowBlank="1" showInputMessage="1" showErrorMessage="1" sqref="G3">
      <formula1>$S$5:$S$8</formula1>
    </dataValidation>
    <dataValidation type="list" allowBlank="1" showInputMessage="1" showErrorMessage="1" sqref="H3:I3">
      <formula1>$S$3</formula1>
    </dataValidation>
    <dataValidation type="list" allowBlank="1" showInputMessage="1" showErrorMessage="1" sqref="K3">
      <formula1>$P$5:$P$8</formula1>
    </dataValidation>
    <dataValidation type="list" allowBlank="1" showInputMessage="1" showErrorMessage="1" sqref="L3">
      <formula1>$Q$5:$Q$8</formula1>
    </dataValidation>
  </dataValidations>
  <hyperlinks>
    <hyperlink ref="Q6" r:id="rId2" display="leonardo.gastager@raypac.net"/>
    <hyperlink ref="Q5" r:id="rId3" display="ezequiel.pacheco@raypac.net"/>
    <hyperlink ref="Q8" r:id="rId4" display="luciana.paradiso@raypac.net"/>
    <hyperlink ref="Q13" r:id="rId5" display="romina.gamarra@raypac.net"/>
    <hyperlink ref="Q11" r:id="rId6" display="matias.chaubell@raypac.net"/>
    <hyperlink ref="Q9" r:id="rId7" display="daniela.sofio@raypac.net"/>
    <hyperlink ref="Q7" r:id="rId8" display="luciana.gregorio@raypac.net"/>
    <hyperlink ref="Q12" r:id="rId9" display="paola.isabelli@raypac.net"/>
    <hyperlink ref="Q10" r:id="rId10" display="hernan.rivero@raypac.net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2"/>
  <dimension ref="A1:AG34"/>
  <sheetViews>
    <sheetView zoomScale="55" zoomScaleNormal="55" topLeftCell="I1" workbookViewId="0">
      <pane ySplit="2" topLeftCell="A3" activePane="bottomLeft" state="frozen"/>
      <selection/>
      <selection pane="bottomLeft" activeCell="K27" sqref="K27:L33"/>
    </sheetView>
  </sheetViews>
  <sheetFormatPr defaultColWidth="10.7142857142857" defaultRowHeight="15"/>
  <cols>
    <col min="1" max="1" width="22.1428571428571" customWidth="1"/>
    <col min="2" max="3" width="28.1428571428571" style="121" customWidth="1"/>
    <col min="4" max="4" width="30" style="122" customWidth="1"/>
    <col min="5" max="5" width="47.7142857142857" customWidth="1"/>
    <col min="6" max="6" width="45.2857142857143" customWidth="1"/>
    <col min="7" max="7" width="32.7142857142857" customWidth="1"/>
    <col min="8" max="8" width="25.5714285714286" customWidth="1"/>
    <col min="9" max="9" width="32.1428571428571" style="123" customWidth="1"/>
    <col min="10" max="10" width="30.4285714285714" style="123" customWidth="1"/>
    <col min="11" max="11" width="40.7142857142857" style="124" customWidth="1"/>
    <col min="12" max="12" width="33.5714285714286" customWidth="1"/>
    <col min="13" max="13" width="94" hidden="1" customWidth="1"/>
    <col min="14" max="14" width="35.7142857142857" customWidth="1"/>
    <col min="15" max="15" width="20.1428571428571" customWidth="1"/>
    <col min="16" max="17" width="15.5714285714286" customWidth="1"/>
    <col min="18" max="19" width="25.2857142857143" customWidth="1"/>
    <col min="20" max="20" width="14.4285714285714" customWidth="1"/>
    <col min="21" max="21" width="20.7142857142857" customWidth="1"/>
    <col min="22" max="22" width="22.4285714285714" customWidth="1"/>
    <col min="25" max="25" width="13.2857142857143" customWidth="1"/>
    <col min="26" max="26" width="28.5714285714286" customWidth="1"/>
    <col min="27" max="27" width="17.2857142857143" customWidth="1"/>
    <col min="33" max="33" width="18" customWidth="1"/>
  </cols>
  <sheetData>
    <row r="1" ht="38.45" customHeight="1" spans="1:18">
      <c r="A1" s="125" t="s">
        <v>107</v>
      </c>
      <c r="B1" s="126">
        <v>500</v>
      </c>
      <c r="C1" s="127" t="s">
        <v>108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</row>
    <row r="2" ht="43.15" customHeight="1" spans="1:18">
      <c r="A2" s="129" t="s">
        <v>109</v>
      </c>
      <c r="B2" s="130" t="s">
        <v>110</v>
      </c>
      <c r="C2" s="131" t="s">
        <v>111</v>
      </c>
      <c r="D2" s="132"/>
      <c r="E2" s="133" t="s">
        <v>112</v>
      </c>
      <c r="F2" s="134" t="s">
        <v>113</v>
      </c>
      <c r="G2" s="131" t="s">
        <v>114</v>
      </c>
      <c r="H2" s="135"/>
      <c r="I2" s="135"/>
      <c r="J2" s="135"/>
      <c r="K2" s="163"/>
      <c r="L2" s="164" t="s">
        <v>115</v>
      </c>
      <c r="M2" s="165" t="s">
        <v>116</v>
      </c>
      <c r="N2" s="166" t="s">
        <v>116</v>
      </c>
      <c r="O2" s="166" t="s">
        <v>117</v>
      </c>
      <c r="P2" s="166" t="s">
        <v>118</v>
      </c>
      <c r="Q2" s="166" t="s">
        <v>119</v>
      </c>
      <c r="R2" s="166" t="s">
        <v>120</v>
      </c>
    </row>
    <row r="3" ht="26.45" customHeight="1" spans="1:33">
      <c r="A3" s="136">
        <v>45891</v>
      </c>
      <c r="B3" s="137" t="s">
        <v>121</v>
      </c>
      <c r="C3" s="138" t="s">
        <v>122</v>
      </c>
      <c r="D3" s="138" t="s">
        <v>123</v>
      </c>
      <c r="E3" s="139" t="s">
        <v>124</v>
      </c>
      <c r="F3" s="140" t="s">
        <v>114</v>
      </c>
      <c r="G3" s="141" t="s">
        <v>125</v>
      </c>
      <c r="H3" s="141" t="s">
        <v>126</v>
      </c>
      <c r="I3" s="141" t="s">
        <v>127</v>
      </c>
      <c r="J3" s="141" t="s">
        <v>128</v>
      </c>
      <c r="K3" s="167" t="s">
        <v>129</v>
      </c>
      <c r="L3" s="168" t="s">
        <v>18</v>
      </c>
      <c r="M3" s="169"/>
      <c r="N3" s="168" t="s">
        <v>18</v>
      </c>
      <c r="O3" s="170" t="s">
        <v>130</v>
      </c>
      <c r="P3" s="171">
        <v>10200</v>
      </c>
      <c r="Q3" s="181">
        <v>45894</v>
      </c>
      <c r="R3" s="182">
        <v>258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131</v>
      </c>
      <c r="AE3" t="s">
        <v>18</v>
      </c>
      <c r="AG3" t="s">
        <v>121</v>
      </c>
    </row>
    <row r="4" ht="18" customHeight="1" spans="1:33">
      <c r="A4" s="142"/>
      <c r="B4" s="143"/>
      <c r="C4" s="144" t="s">
        <v>132</v>
      </c>
      <c r="D4" s="145" t="s">
        <v>133</v>
      </c>
      <c r="E4" s="146"/>
      <c r="F4" s="147"/>
      <c r="G4" s="148" t="s">
        <v>134</v>
      </c>
      <c r="H4" s="148" t="str">
        <f>IF(G4="","",VLOOKUP(G4,'MATRIZ DE REPUESTOS '!$A$2:$B$231,2,FALSE))</f>
        <v>WEAR PLATE</v>
      </c>
      <c r="I4" s="148">
        <v>1</v>
      </c>
      <c r="J4" s="82" t="b">
        <v>1</v>
      </c>
      <c r="K4" s="172"/>
      <c r="L4" s="147"/>
      <c r="M4" s="173"/>
      <c r="N4" s="147"/>
      <c r="O4" s="170"/>
      <c r="P4" s="174"/>
      <c r="Q4" s="182"/>
      <c r="R4" s="182"/>
      <c r="T4" t="s">
        <v>133</v>
      </c>
      <c r="U4" t="s">
        <v>133</v>
      </c>
      <c r="V4" t="s">
        <v>135</v>
      </c>
      <c r="W4" t="s">
        <v>135</v>
      </c>
      <c r="X4" t="s">
        <v>136</v>
      </c>
      <c r="Y4" t="s">
        <v>137</v>
      </c>
      <c r="Z4" t="s">
        <v>138</v>
      </c>
      <c r="AA4" t="s">
        <v>137</v>
      </c>
      <c r="AB4" t="s">
        <v>139</v>
      </c>
      <c r="AC4" t="s">
        <v>139</v>
      </c>
      <c r="AD4" t="s">
        <v>130</v>
      </c>
      <c r="AG4" t="s">
        <v>140</v>
      </c>
    </row>
    <row r="5" ht="18" customHeight="1" spans="1:30">
      <c r="A5" s="142"/>
      <c r="B5" s="143"/>
      <c r="C5" s="144" t="s">
        <v>141</v>
      </c>
      <c r="D5" s="145" t="s">
        <v>135</v>
      </c>
      <c r="E5" s="146"/>
      <c r="F5" s="147"/>
      <c r="G5" s="148" t="s">
        <v>142</v>
      </c>
      <c r="H5" s="148" t="str">
        <f>IF(G5="","",VLOOKUP(G5,'MATRIZ DE REPUESTOS '!$A$2:$B$231,2,FALSE))</f>
        <v>WELDING GROUP ASSEMBLED</v>
      </c>
      <c r="I5" s="148">
        <v>1</v>
      </c>
      <c r="J5" s="175"/>
      <c r="K5" s="176"/>
      <c r="L5" s="147"/>
      <c r="M5" s="173"/>
      <c r="N5" s="147"/>
      <c r="O5" s="170"/>
      <c r="P5" s="174"/>
      <c r="Q5" s="182"/>
      <c r="R5" s="182"/>
      <c r="T5" t="s">
        <v>143</v>
      </c>
      <c r="U5" t="s">
        <v>135</v>
      </c>
      <c r="V5" t="s">
        <v>144</v>
      </c>
      <c r="W5" t="s">
        <v>145</v>
      </c>
      <c r="X5" t="s">
        <v>146</v>
      </c>
      <c r="Y5" t="s">
        <v>147</v>
      </c>
      <c r="Z5" t="s">
        <v>148</v>
      </c>
      <c r="AA5" t="s">
        <v>144</v>
      </c>
      <c r="AB5" t="s">
        <v>144</v>
      </c>
      <c r="AC5" t="s">
        <v>144</v>
      </c>
      <c r="AD5" t="s">
        <v>149</v>
      </c>
    </row>
    <row r="6" ht="18" customHeight="1" spans="1:30">
      <c r="A6" s="142"/>
      <c r="B6" s="143"/>
      <c r="C6" s="144" t="s">
        <v>150</v>
      </c>
      <c r="D6" s="145" t="s">
        <v>144</v>
      </c>
      <c r="E6" s="146"/>
      <c r="F6" s="147"/>
      <c r="G6" s="148" t="s">
        <v>151</v>
      </c>
      <c r="H6" s="148" t="str">
        <f>IF(G6="","",VLOOKUP(G6,'MATRIZ DE REPUESTOS '!$A$2:$B$231,2,FALSE))</f>
        <v>SCREW TCEI M3X10 UNI 5931</v>
      </c>
      <c r="I6" s="148">
        <v>2</v>
      </c>
      <c r="J6" s="175"/>
      <c r="K6" s="176"/>
      <c r="L6" s="147"/>
      <c r="M6" s="173"/>
      <c r="N6" s="147"/>
      <c r="O6" s="170"/>
      <c r="P6" s="174"/>
      <c r="Q6" s="182"/>
      <c r="R6" s="182"/>
      <c r="T6" t="s">
        <v>152</v>
      </c>
      <c r="U6" t="s">
        <v>143</v>
      </c>
      <c r="V6" t="s">
        <v>145</v>
      </c>
      <c r="W6" t="s">
        <v>136</v>
      </c>
      <c r="X6" t="s">
        <v>153</v>
      </c>
      <c r="Y6" t="s">
        <v>154</v>
      </c>
      <c r="Z6" t="s">
        <v>144</v>
      </c>
      <c r="AA6" t="s">
        <v>136</v>
      </c>
      <c r="AB6" t="s">
        <v>136</v>
      </c>
      <c r="AC6" t="s">
        <v>136</v>
      </c>
      <c r="AD6" t="s">
        <v>155</v>
      </c>
    </row>
    <row r="7" ht="18" customHeight="1" spans="1:30">
      <c r="A7" s="142"/>
      <c r="B7" s="143"/>
      <c r="C7" s="144" t="s">
        <v>156</v>
      </c>
      <c r="D7" s="145" t="s">
        <v>136</v>
      </c>
      <c r="E7" s="146"/>
      <c r="F7" s="147"/>
      <c r="G7" s="148"/>
      <c r="H7" s="148" t="str">
        <f>IF(G7="","",VLOOKUP(G7,'MATRIZ DE REPUESTOS '!$A$2:$B$231,2,FALSE))</f>
        <v/>
      </c>
      <c r="I7" s="148"/>
      <c r="J7" s="175"/>
      <c r="K7" s="176"/>
      <c r="L7" s="147"/>
      <c r="M7" s="173"/>
      <c r="N7" s="147"/>
      <c r="O7" s="170"/>
      <c r="P7" s="174"/>
      <c r="Q7" s="182"/>
      <c r="R7" s="182"/>
      <c r="T7" t="s">
        <v>136</v>
      </c>
      <c r="U7" t="s">
        <v>152</v>
      </c>
      <c r="V7" t="s">
        <v>136</v>
      </c>
      <c r="W7" t="s">
        <v>157</v>
      </c>
      <c r="Z7" t="s">
        <v>136</v>
      </c>
      <c r="AA7" t="s">
        <v>146</v>
      </c>
      <c r="AC7" t="s">
        <v>146</v>
      </c>
      <c r="AD7" t="s">
        <v>158</v>
      </c>
    </row>
    <row r="8" ht="18" customHeight="1" spans="1:27">
      <c r="A8" s="142"/>
      <c r="B8" s="143"/>
      <c r="C8" s="144" t="s">
        <v>159</v>
      </c>
      <c r="D8" s="145" t="s">
        <v>136</v>
      </c>
      <c r="E8" s="146"/>
      <c r="F8" s="147"/>
      <c r="G8" s="148"/>
      <c r="H8" s="148" t="str">
        <f>IF(G8="","",VLOOKUP(G8,'MATRIZ DE REPUESTOS '!$A$2:$B$231,2,FALSE))</f>
        <v/>
      </c>
      <c r="I8" s="148"/>
      <c r="J8" s="175"/>
      <c r="K8" s="176"/>
      <c r="L8" s="147"/>
      <c r="M8" s="173"/>
      <c r="N8" s="147"/>
      <c r="O8" s="170"/>
      <c r="P8" s="174"/>
      <c r="Q8" s="182"/>
      <c r="R8" s="182"/>
      <c r="T8" t="s">
        <v>160</v>
      </c>
      <c r="U8" t="s">
        <v>136</v>
      </c>
      <c r="V8" t="s">
        <v>157</v>
      </c>
      <c r="W8" t="s">
        <v>146</v>
      </c>
      <c r="Z8" t="s">
        <v>161</v>
      </c>
      <c r="AA8" t="s">
        <v>162</v>
      </c>
    </row>
    <row r="9" ht="18" customHeight="1" spans="1:26">
      <c r="A9" s="142"/>
      <c r="B9" s="143"/>
      <c r="C9" s="144" t="s">
        <v>163</v>
      </c>
      <c r="D9" s="145" t="s">
        <v>137</v>
      </c>
      <c r="E9" s="146"/>
      <c r="F9" s="147"/>
      <c r="G9" s="148"/>
      <c r="H9" s="148" t="str">
        <f>IF(G9="","",VLOOKUP(G9,'MATRIZ DE REPUESTOS '!$A$2:$B$231,2,FALSE))</f>
        <v/>
      </c>
      <c r="I9" s="148"/>
      <c r="J9" s="175"/>
      <c r="K9" s="176"/>
      <c r="L9" s="147"/>
      <c r="M9" s="173"/>
      <c r="N9" s="147"/>
      <c r="O9" s="170"/>
      <c r="P9" s="174"/>
      <c r="Q9" s="182"/>
      <c r="R9" s="182"/>
      <c r="U9" t="s">
        <v>164</v>
      </c>
      <c r="V9" t="s">
        <v>146</v>
      </c>
      <c r="Z9" t="s">
        <v>165</v>
      </c>
    </row>
    <row r="10" ht="18" customHeight="1" spans="1:21">
      <c r="A10" s="142"/>
      <c r="B10" s="143"/>
      <c r="C10" s="144" t="s">
        <v>166</v>
      </c>
      <c r="D10" s="145" t="s">
        <v>137</v>
      </c>
      <c r="E10" s="146"/>
      <c r="F10" s="147"/>
      <c r="G10" s="148"/>
      <c r="H10" s="149" t="str">
        <f>IF(G10="","",VLOOKUP(G10,'MATRIZ DE REPUESTOS '!$A$2:$B$231,2,FALSE))</f>
        <v/>
      </c>
      <c r="I10" s="148"/>
      <c r="J10" s="175"/>
      <c r="K10" s="176"/>
      <c r="L10" s="147"/>
      <c r="M10" s="173"/>
      <c r="N10" s="147"/>
      <c r="O10" s="170"/>
      <c r="P10" s="174"/>
      <c r="Q10" s="182"/>
      <c r="R10" s="182"/>
      <c r="U10" t="s">
        <v>160</v>
      </c>
    </row>
    <row r="11" ht="18" customHeight="1" spans="1:21">
      <c r="A11" s="142"/>
      <c r="B11" s="143"/>
      <c r="C11" s="144" t="s">
        <v>167</v>
      </c>
      <c r="D11" s="145" t="s">
        <v>148</v>
      </c>
      <c r="E11" s="146"/>
      <c r="F11" s="147"/>
      <c r="G11" s="148"/>
      <c r="H11" s="148" t="str">
        <f>IF(G11="","",VLOOKUP(G11,'MATRIZ DE REPUESTOS '!$A$2:$B$231,2,FALSE))</f>
        <v/>
      </c>
      <c r="I11" s="148"/>
      <c r="J11" s="175"/>
      <c r="K11" s="176"/>
      <c r="L11" s="147"/>
      <c r="M11" s="173"/>
      <c r="N11" s="147"/>
      <c r="O11" s="170"/>
      <c r="P11" s="174"/>
      <c r="Q11" s="182"/>
      <c r="R11" s="182"/>
      <c r="U11" t="s">
        <v>161</v>
      </c>
    </row>
    <row r="12" ht="18" customHeight="1" spans="1:18">
      <c r="A12" s="142"/>
      <c r="B12" s="143"/>
      <c r="C12" s="144" t="s">
        <v>168</v>
      </c>
      <c r="D12" s="145" t="s">
        <v>137</v>
      </c>
      <c r="E12" s="146"/>
      <c r="F12" s="147"/>
      <c r="G12" s="148"/>
      <c r="H12" s="148" t="str">
        <f>IF(G12="","",VLOOKUP(G12,'MATRIZ DE REPUESTOS '!$A$2:$B$231,2,FALSE))</f>
        <v/>
      </c>
      <c r="I12" s="148"/>
      <c r="J12" s="175"/>
      <c r="K12" s="176"/>
      <c r="L12" s="147"/>
      <c r="M12" s="173"/>
      <c r="N12" s="147"/>
      <c r="O12" s="170"/>
      <c r="P12" s="174"/>
      <c r="Q12" s="182"/>
      <c r="R12" s="182"/>
    </row>
    <row r="13" ht="22.5" spans="1:21">
      <c r="A13" s="142"/>
      <c r="B13" s="143"/>
      <c r="C13" s="144" t="s">
        <v>169</v>
      </c>
      <c r="D13" s="145" t="s">
        <v>136</v>
      </c>
      <c r="E13" s="146"/>
      <c r="F13" s="147"/>
      <c r="G13" s="148"/>
      <c r="H13" s="148" t="str">
        <f>IF(G13="","",VLOOKUP(G13,'MATRIZ DE REPUESTOS '!$A$2:$B$231,2,FALSE))</f>
        <v/>
      </c>
      <c r="I13" s="148"/>
      <c r="J13" s="175"/>
      <c r="K13" s="176"/>
      <c r="L13" s="147"/>
      <c r="M13" s="173"/>
      <c r="N13" s="147"/>
      <c r="O13" s="170"/>
      <c r="P13" s="174"/>
      <c r="Q13" s="182"/>
      <c r="R13" s="182"/>
      <c r="U13" s="183"/>
    </row>
    <row r="14" ht="22.5" spans="1:21">
      <c r="A14" s="142"/>
      <c r="B14" s="143"/>
      <c r="C14" s="144" t="s">
        <v>170</v>
      </c>
      <c r="D14" s="145" t="s">
        <v>136</v>
      </c>
      <c r="E14" s="146"/>
      <c r="F14" s="147"/>
      <c r="G14" s="148"/>
      <c r="H14" s="148" t="str">
        <f>IF(G14="","",VLOOKUP(G14,'MATRIZ DE REPUESTOS '!$A$2:$B$231,2,FALSE))</f>
        <v/>
      </c>
      <c r="I14" s="148"/>
      <c r="J14" s="175"/>
      <c r="K14" s="176"/>
      <c r="L14" s="147"/>
      <c r="M14" s="173"/>
      <c r="N14" s="147"/>
      <c r="O14" s="170"/>
      <c r="P14" s="174"/>
      <c r="Q14" s="182"/>
      <c r="R14" s="182"/>
      <c r="U14" s="183"/>
    </row>
    <row r="15" ht="15.6" customHeight="1" spans="1:21">
      <c r="A15" s="142"/>
      <c r="B15" s="150"/>
      <c r="C15" s="144" t="s">
        <v>171</v>
      </c>
      <c r="D15" s="145"/>
      <c r="E15" s="151"/>
      <c r="F15" s="152"/>
      <c r="G15" s="148"/>
      <c r="H15" s="148" t="str">
        <f>IF(G15="","",VLOOKUP(G15,'MATRIZ DE REPUESTOS '!$A$2:$B$231,2,FALSE))</f>
        <v/>
      </c>
      <c r="I15" s="148"/>
      <c r="J15" s="175"/>
      <c r="K15" s="176"/>
      <c r="L15" s="152"/>
      <c r="M15" s="177"/>
      <c r="N15" s="152"/>
      <c r="O15" s="170"/>
      <c r="P15" s="178"/>
      <c r="Q15" s="182"/>
      <c r="R15" s="182"/>
      <c r="U15" s="183"/>
    </row>
    <row r="16" ht="14.45" customHeight="1" spans="2:20">
      <c r="B16"/>
      <c r="D16" s="121"/>
      <c r="E16" s="122"/>
      <c r="I16"/>
      <c r="J16"/>
      <c r="K16" s="123"/>
      <c r="L16" s="123"/>
      <c r="M16" s="124"/>
      <c r="T16" s="183"/>
    </row>
    <row r="17" ht="14.45" customHeight="1" spans="2:20">
      <c r="B17"/>
      <c r="D17" s="121"/>
      <c r="E17" s="122"/>
      <c r="I17"/>
      <c r="J17"/>
      <c r="K17" s="123"/>
      <c r="L17" s="123"/>
      <c r="M17" s="124"/>
      <c r="T17" s="183"/>
    </row>
    <row r="18" ht="14.45" customHeight="1" spans="2:13">
      <c r="B18"/>
      <c r="D18" s="121"/>
      <c r="E18" s="122"/>
      <c r="I18"/>
      <c r="J18"/>
      <c r="K18" s="123"/>
      <c r="L18" s="123"/>
      <c r="M18" s="124"/>
    </row>
    <row r="19" ht="57.6" customHeight="1" spans="2:20">
      <c r="B19"/>
      <c r="D19" s="121"/>
      <c r="E19" s="122"/>
      <c r="I19"/>
      <c r="J19"/>
      <c r="K19" s="123"/>
      <c r="L19" s="123"/>
      <c r="M19" s="124"/>
      <c r="T19" s="183"/>
    </row>
    <row r="20" ht="60" spans="2:20">
      <c r="B20" s="123" t="s">
        <v>172</v>
      </c>
      <c r="C20" s="153" t="s">
        <v>173</v>
      </c>
      <c r="D20" s="154" t="s">
        <v>45</v>
      </c>
      <c r="E20" s="155" t="s">
        <v>174</v>
      </c>
      <c r="F20" s="155" t="s">
        <v>174</v>
      </c>
      <c r="G20" s="156" t="s">
        <v>175</v>
      </c>
      <c r="H20" s="156" t="s">
        <v>176</v>
      </c>
      <c r="I20" s="156" t="s">
        <v>177</v>
      </c>
      <c r="J20" s="156" t="s">
        <v>178</v>
      </c>
      <c r="K20" s="156" t="s">
        <v>179</v>
      </c>
      <c r="L20" s="156" t="s">
        <v>180</v>
      </c>
      <c r="M20" s="156" t="s">
        <v>181</v>
      </c>
      <c r="N20" s="179" t="s">
        <v>182</v>
      </c>
      <c r="O20" s="179" t="s">
        <v>183</v>
      </c>
      <c r="P20" s="179"/>
      <c r="Q20" s="156" t="s">
        <v>184</v>
      </c>
      <c r="R20" s="156" t="s">
        <v>185</v>
      </c>
      <c r="T20" s="183"/>
    </row>
    <row r="21" ht="14.45" customHeight="1" spans="2:19">
      <c r="B21"/>
      <c r="D21" s="121"/>
      <c r="E21" s="122"/>
      <c r="I21"/>
      <c r="J21"/>
      <c r="K21" s="123"/>
      <c r="L21" s="123"/>
      <c r="M21" s="124"/>
      <c r="S21" s="183"/>
    </row>
    <row r="22" ht="14.45" customHeight="1" spans="2:13">
      <c r="B22"/>
      <c r="D22" s="121"/>
      <c r="E22" s="122"/>
      <c r="I22"/>
      <c r="J22"/>
      <c r="K22" s="123"/>
      <c r="L22" s="123"/>
      <c r="M22" s="124"/>
    </row>
    <row r="23" ht="14.45" customHeight="1" spans="2:13">
      <c r="B23"/>
      <c r="D23" s="121"/>
      <c r="E23" s="122"/>
      <c r="I23"/>
      <c r="J23"/>
      <c r="K23" s="123"/>
      <c r="L23" s="123"/>
      <c r="M23" s="124"/>
    </row>
    <row r="24" ht="75.6" customHeight="1" spans="9:12">
      <c r="I24"/>
      <c r="K24" s="123"/>
      <c r="L24" s="124"/>
    </row>
    <row r="25" ht="14.45" customHeight="1" spans="9:12">
      <c r="I25"/>
      <c r="K25" s="123"/>
      <c r="L25" s="124"/>
    </row>
    <row r="26" ht="14.45" customHeight="1" spans="9:12">
      <c r="I26"/>
      <c r="K26" s="123"/>
      <c r="L26" s="124"/>
    </row>
    <row r="27" ht="14.45" customHeight="1" spans="9:12">
      <c r="I27"/>
      <c r="K27" s="180" t="s">
        <v>186</v>
      </c>
      <c r="L27" s="180"/>
    </row>
    <row r="28" ht="14.45" customHeight="1" spans="5:12">
      <c r="E28" s="157" t="s">
        <v>187</v>
      </c>
      <c r="F28" s="158"/>
      <c r="I28"/>
      <c r="K28" s="156"/>
      <c r="L28" s="156"/>
    </row>
    <row r="29" ht="14.45" customHeight="1" spans="5:12">
      <c r="E29" s="159"/>
      <c r="F29" s="160"/>
      <c r="I29"/>
      <c r="K29" s="156"/>
      <c r="L29" s="156"/>
    </row>
    <row r="30" spans="5:12">
      <c r="E30" s="159"/>
      <c r="F30" s="160"/>
      <c r="I30"/>
      <c r="K30" s="156"/>
      <c r="L30" s="156"/>
    </row>
    <row r="31" ht="14.45" customHeight="1" spans="5:12">
      <c r="E31" s="159"/>
      <c r="F31" s="160"/>
      <c r="I31"/>
      <c r="K31" s="156"/>
      <c r="L31" s="156"/>
    </row>
    <row r="32" spans="5:12">
      <c r="E32" s="159"/>
      <c r="F32" s="160"/>
      <c r="I32"/>
      <c r="K32" s="156"/>
      <c r="L32" s="156"/>
    </row>
    <row r="33" spans="5:12">
      <c r="E33" s="161"/>
      <c r="F33" s="162"/>
      <c r="I33"/>
      <c r="K33" s="156"/>
      <c r="L33" s="156"/>
    </row>
    <row r="34" ht="29.45" customHeight="1" spans="9:12">
      <c r="I34"/>
      <c r="K34" s="123"/>
      <c r="L34" s="124"/>
    </row>
  </sheetData>
  <sortState ref="AA4:AA8">
    <sortCondition ref="AA4:AA8"/>
  </sortState>
  <mergeCells count="10">
    <mergeCell ref="C1:R1"/>
    <mergeCell ref="C2:D2"/>
    <mergeCell ref="G2:K2"/>
    <mergeCell ref="A3:A15"/>
    <mergeCell ref="M3:M15"/>
    <mergeCell ref="O3:O15"/>
    <mergeCell ref="Q3:Q15"/>
    <mergeCell ref="R3:R15"/>
    <mergeCell ref="K27:L33"/>
    <mergeCell ref="E28:F33"/>
  </mergeCells>
  <conditionalFormatting sqref="N3">
    <cfRule type="containsText" dxfId="0" priority="11" operator="between" text="EN REPARACIÓN">
      <formula>NOT(ISERROR(SEARCH("EN REPARACIÓN",N3)))</formula>
    </cfRule>
    <cfRule type="containsText" priority="12" operator="between" text="A LA ESPERA DE REVISIÓN">
      <formula>NOT(ISERROR(SEARCH("A LA ESPERA DE REVISIÓN",N3)))</formula>
    </cfRule>
    <cfRule type="containsText" dxfId="1" priority="13" operator="between" text="MÁQUINA ENTREGADA">
      <formula>NOT(ISERROR(SEARCH("MÁQUINA ENTREGADA",N3)))</formula>
    </cfRule>
    <cfRule type="containsText" dxfId="2" priority="14" operator="between" text="MÁQUINA LISTA PARA RETIRAR">
      <formula>NOT(ISERROR(SEARCH("MÁQUINA LISTA PARA RETIRAR",N3)))</formula>
    </cfRule>
    <cfRule type="containsText" dxfId="3" priority="15" operator="between" text="A LA ESPERA DE REPUESTOS">
      <formula>NOT(ISERROR(SEARCH("A LA ESPERA DE REPUESTOS",N3)))</formula>
    </cfRule>
  </conditionalFormatting>
  <conditionalFormatting sqref="O3:P3">
    <cfRule type="containsText" dxfId="0" priority="1" operator="between" text="EN REPARACIÓN">
      <formula>NOT(ISERROR(SEARCH("EN REPARACIÓN",O3)))</formula>
    </cfRule>
    <cfRule type="containsText" priority="2" operator="between" text="A LA ESPERA DE REVISIÓN">
      <formula>NOT(ISERROR(SEARCH("A LA ESPERA DE REVISIÓN",O3)))</formula>
    </cfRule>
    <cfRule type="containsText" dxfId="1" priority="3" operator="between" text="MÁQUINA ENTREGADA">
      <formula>NOT(ISERROR(SEARCH("MÁQUINA ENTREGADA",O3)))</formula>
    </cfRule>
    <cfRule type="containsText" dxfId="2" priority="4" operator="between" text="MÁQUINA LISTA PARA RETIRAR">
      <formula>NOT(ISERROR(SEARCH("MÁQUINA LISTA PARA RETIRAR",O3)))</formula>
    </cfRule>
    <cfRule type="containsText" dxfId="3" priority="5" operator="between" text="A LA ESPERA DE REPUESTOS">
      <formula>NOT(ISERROR(SEARCH("A LA ESPERA DE REPUESTOS",O3)))</formula>
    </cfRule>
  </conditionalFormatting>
  <dataValidations count="14">
    <dataValidation type="list" allowBlank="1" showInputMessage="1" showErrorMessage="1" sqref="L3:M3">
      <formula1>$AE$3</formula1>
    </dataValidation>
    <dataValidation type="list" allowBlank="1" showInputMessage="1" showErrorMessage="1" sqref="N3">
      <formula1>$T$3</formula1>
    </dataValidation>
    <dataValidation type="list" allowBlank="1" showInputMessage="1" showErrorMessage="1" sqref="O3">
      <formula1>$AD$3:$AD$7</formula1>
    </dataValidation>
    <dataValidation type="list" allowBlank="1" showInputMessage="1" showErrorMessage="1" sqref="D4">
      <formula1>$T$3:$T$8</formula1>
    </dataValidation>
    <dataValidation type="list" allowBlank="1" showInputMessage="1" showErrorMessage="1" sqref="D5">
      <formula1>$U$3:$U$11</formula1>
    </dataValidation>
    <dataValidation type="list" allowBlank="1" showInputMessage="1" showErrorMessage="1" sqref="D6">
      <formula1>$V$3:$V$9</formula1>
    </dataValidation>
    <dataValidation type="list" allowBlank="1" showInputMessage="1" showErrorMessage="1" sqref="D7">
      <formula1>$W$3:$W$8</formula1>
    </dataValidation>
    <dataValidation type="list" allowBlank="1" showInputMessage="1" showErrorMessage="1" sqref="D8">
      <formula1>$X$3:$X$6</formula1>
    </dataValidation>
    <dataValidation type="list" allowBlank="1" showInputMessage="1" showErrorMessage="1" sqref="D11">
      <formula1>$Z$3:$Z$9</formula1>
    </dataValidation>
    <dataValidation type="list" allowBlank="1" showInputMessage="1" showErrorMessage="1" sqref="D12">
      <formula1>$AA$3:$AA$8</formula1>
    </dataValidation>
    <dataValidation type="list" allowBlank="1" showInputMessage="1" showErrorMessage="1" sqref="D13">
      <formula1>$AB$3:$AB$6</formula1>
    </dataValidation>
    <dataValidation type="list" allowBlank="1" showInputMessage="1" showErrorMessage="1" sqref="B3:B15">
      <formula1>$AG$3:$AG$4</formula1>
    </dataValidation>
    <dataValidation type="list" allowBlank="1" showInputMessage="1" showErrorMessage="1" sqref="D9:D10">
      <formula1>$Y$3:$Y$6</formula1>
    </dataValidation>
    <dataValidation type="list" allowBlank="1" showInputMessage="1" showErrorMessage="1" sqref="D14:D15">
      <formula1>$AC$3:$AC$7</formula1>
    </dataValidation>
  </dataValidations>
  <pageMargins left="0.7" right="0.7" top="0.75" bottom="0.75" header="0.511805555555555" footer="0.511805555555555"/>
  <pageSetup paperSize="9" firstPageNumber="0" orientation="portrait" useFirstPageNumber="1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3"/>
  <dimension ref="A1:B231"/>
  <sheetViews>
    <sheetView workbookViewId="0">
      <selection activeCell="H211" sqref="H211"/>
    </sheetView>
  </sheetViews>
  <sheetFormatPr defaultColWidth="11" defaultRowHeight="15" outlineLevelCol="1"/>
  <cols>
    <col min="1" max="1" width="13.7142857142857" customWidth="1"/>
    <col min="2" max="2" width="34.5714285714286" customWidth="1"/>
  </cols>
  <sheetData>
    <row r="1" ht="26.25" spans="1:2">
      <c r="A1" s="114" t="s">
        <v>188</v>
      </c>
      <c r="B1" s="115" t="s">
        <v>189</v>
      </c>
    </row>
    <row r="2" spans="1:2">
      <c r="A2" s="116" t="s">
        <v>190</v>
      </c>
      <c r="B2" s="117" t="s">
        <v>191</v>
      </c>
    </row>
    <row r="3" spans="1:2">
      <c r="A3" s="116" t="s">
        <v>192</v>
      </c>
      <c r="B3" s="118" t="s">
        <v>193</v>
      </c>
    </row>
    <row r="4" spans="1:2">
      <c r="A4" s="116" t="s">
        <v>194</v>
      </c>
      <c r="B4" s="118" t="s">
        <v>195</v>
      </c>
    </row>
    <row r="5" spans="1:2">
      <c r="A5" s="116" t="s">
        <v>196</v>
      </c>
      <c r="B5" s="118" t="s">
        <v>197</v>
      </c>
    </row>
    <row r="6" spans="1:2">
      <c r="A6" s="116" t="s">
        <v>198</v>
      </c>
      <c r="B6" s="118" t="s">
        <v>199</v>
      </c>
    </row>
    <row r="7" spans="1:2">
      <c r="A7" s="116" t="s">
        <v>200</v>
      </c>
      <c r="B7" s="118" t="s">
        <v>201</v>
      </c>
    </row>
    <row r="8" spans="1:2">
      <c r="A8" s="116" t="s">
        <v>202</v>
      </c>
      <c r="B8" s="117" t="s">
        <v>203</v>
      </c>
    </row>
    <row r="9" spans="1:2">
      <c r="A9" s="116" t="s">
        <v>204</v>
      </c>
      <c r="B9" s="118" t="s">
        <v>205</v>
      </c>
    </row>
    <row r="10" spans="1:2">
      <c r="A10" s="116" t="s">
        <v>206</v>
      </c>
      <c r="B10" s="118" t="s">
        <v>207</v>
      </c>
    </row>
    <row r="11" spans="1:2">
      <c r="A11" s="116" t="s">
        <v>142</v>
      </c>
      <c r="B11" s="118" t="s">
        <v>208</v>
      </c>
    </row>
    <row r="12" spans="1:2">
      <c r="A12" s="116" t="s">
        <v>209</v>
      </c>
      <c r="B12" s="117" t="s">
        <v>210</v>
      </c>
    </row>
    <row r="13" spans="1:2">
      <c r="A13" s="116" t="s">
        <v>211</v>
      </c>
      <c r="B13" s="118" t="s">
        <v>212</v>
      </c>
    </row>
    <row r="14" spans="1:2">
      <c r="A14" s="116" t="s">
        <v>213</v>
      </c>
      <c r="B14" s="117" t="s">
        <v>214</v>
      </c>
    </row>
    <row r="15" spans="1:2">
      <c r="A15" s="116" t="s">
        <v>215</v>
      </c>
      <c r="B15" s="118" t="s">
        <v>216</v>
      </c>
    </row>
    <row r="16" spans="1:2">
      <c r="A16" s="116" t="s">
        <v>217</v>
      </c>
      <c r="B16" s="117" t="s">
        <v>218</v>
      </c>
    </row>
    <row r="17" spans="1:2">
      <c r="A17" s="116" t="s">
        <v>219</v>
      </c>
      <c r="B17" s="118" t="s">
        <v>220</v>
      </c>
    </row>
    <row r="18" spans="1:2">
      <c r="A18" s="116" t="s">
        <v>221</v>
      </c>
      <c r="B18" s="118" t="s">
        <v>207</v>
      </c>
    </row>
    <row r="19" spans="1:2">
      <c r="A19" s="116" t="s">
        <v>222</v>
      </c>
      <c r="B19" s="118" t="s">
        <v>223</v>
      </c>
    </row>
    <row r="20" spans="1:2">
      <c r="A20" s="116" t="s">
        <v>224</v>
      </c>
      <c r="B20" s="118" t="s">
        <v>223</v>
      </c>
    </row>
    <row r="21" spans="1:2">
      <c r="A21" s="116" t="s">
        <v>225</v>
      </c>
      <c r="B21" s="118" t="s">
        <v>226</v>
      </c>
    </row>
    <row r="22" spans="1:2">
      <c r="A22" s="116" t="s">
        <v>227</v>
      </c>
      <c r="B22" s="117" t="s">
        <v>228</v>
      </c>
    </row>
    <row r="23" spans="1:2">
      <c r="A23" s="116" t="s">
        <v>229</v>
      </c>
      <c r="B23" s="118" t="s">
        <v>230</v>
      </c>
    </row>
    <row r="24" spans="1:2">
      <c r="A24" s="116" t="s">
        <v>231</v>
      </c>
      <c r="B24" s="117" t="s">
        <v>232</v>
      </c>
    </row>
    <row r="25" spans="1:2">
      <c r="A25" s="116" t="s">
        <v>233</v>
      </c>
      <c r="B25" s="118" t="s">
        <v>234</v>
      </c>
    </row>
    <row r="26" spans="1:2">
      <c r="A26" s="116" t="s">
        <v>235</v>
      </c>
      <c r="B26" s="117" t="s">
        <v>236</v>
      </c>
    </row>
    <row r="27" spans="1:2">
      <c r="A27" s="116" t="s">
        <v>237</v>
      </c>
      <c r="B27" s="118" t="s">
        <v>236</v>
      </c>
    </row>
    <row r="28" spans="1:2">
      <c r="A28" s="116" t="s">
        <v>238</v>
      </c>
      <c r="B28" s="117" t="s">
        <v>239</v>
      </c>
    </row>
    <row r="29" spans="1:2">
      <c r="A29" s="116" t="s">
        <v>240</v>
      </c>
      <c r="B29" s="118" t="s">
        <v>241</v>
      </c>
    </row>
    <row r="30" spans="1:2">
      <c r="A30" s="116" t="s">
        <v>242</v>
      </c>
      <c r="B30" s="117" t="s">
        <v>243</v>
      </c>
    </row>
    <row r="31" spans="1:2">
      <c r="A31" s="116" t="s">
        <v>244</v>
      </c>
      <c r="B31" s="118" t="s">
        <v>245</v>
      </c>
    </row>
    <row r="32" spans="1:2">
      <c r="A32" s="116" t="s">
        <v>246</v>
      </c>
      <c r="B32" s="117" t="s">
        <v>247</v>
      </c>
    </row>
    <row r="33" spans="1:2">
      <c r="A33" s="116" t="s">
        <v>248</v>
      </c>
      <c r="B33" s="118" t="s">
        <v>249</v>
      </c>
    </row>
    <row r="34" spans="1:2">
      <c r="A34" s="116" t="s">
        <v>250</v>
      </c>
      <c r="B34" s="117" t="s">
        <v>251</v>
      </c>
    </row>
    <row r="35" spans="1:2">
      <c r="A35" s="116" t="s">
        <v>252</v>
      </c>
      <c r="B35" s="118" t="s">
        <v>253</v>
      </c>
    </row>
    <row r="36" spans="1:2">
      <c r="A36" s="116" t="s">
        <v>254</v>
      </c>
      <c r="B36" s="118" t="s">
        <v>255</v>
      </c>
    </row>
    <row r="37" spans="1:2">
      <c r="A37" s="116" t="s">
        <v>256</v>
      </c>
      <c r="B37" s="118" t="s">
        <v>257</v>
      </c>
    </row>
    <row r="38" spans="1:2">
      <c r="A38" s="116" t="s">
        <v>258</v>
      </c>
      <c r="B38" s="117" t="s">
        <v>259</v>
      </c>
    </row>
    <row r="39" spans="1:2">
      <c r="A39" s="116" t="s">
        <v>260</v>
      </c>
      <c r="B39" s="118" t="s">
        <v>261</v>
      </c>
    </row>
    <row r="40" spans="1:2">
      <c r="A40" s="116" t="s">
        <v>262</v>
      </c>
      <c r="B40" s="117" t="s">
        <v>263</v>
      </c>
    </row>
    <row r="41" spans="1:2">
      <c r="A41" s="116" t="s">
        <v>264</v>
      </c>
      <c r="B41" s="118" t="s">
        <v>265</v>
      </c>
    </row>
    <row r="42" spans="1:2">
      <c r="A42" s="116" t="s">
        <v>266</v>
      </c>
      <c r="B42" s="117" t="s">
        <v>267</v>
      </c>
    </row>
    <row r="43" spans="1:2">
      <c r="A43" s="116" t="s">
        <v>268</v>
      </c>
      <c r="B43" s="118" t="s">
        <v>269</v>
      </c>
    </row>
    <row r="44" spans="1:2">
      <c r="A44" s="116" t="s">
        <v>270</v>
      </c>
      <c r="B44" s="117" t="s">
        <v>271</v>
      </c>
    </row>
    <row r="45" spans="1:2">
      <c r="A45" s="116" t="s">
        <v>272</v>
      </c>
      <c r="B45" s="118" t="s">
        <v>273</v>
      </c>
    </row>
    <row r="46" spans="1:2">
      <c r="A46" s="116" t="s">
        <v>274</v>
      </c>
      <c r="B46" s="117" t="s">
        <v>275</v>
      </c>
    </row>
    <row r="47" spans="1:2">
      <c r="A47" s="116" t="s">
        <v>276</v>
      </c>
      <c r="B47" s="118" t="s">
        <v>277</v>
      </c>
    </row>
    <row r="48" spans="1:2">
      <c r="A48" s="116" t="s">
        <v>278</v>
      </c>
      <c r="B48" s="117" t="s">
        <v>279</v>
      </c>
    </row>
    <row r="49" spans="1:2">
      <c r="A49" s="116" t="s">
        <v>280</v>
      </c>
      <c r="B49" s="118" t="s">
        <v>281</v>
      </c>
    </row>
    <row r="50" spans="1:2">
      <c r="A50" s="116" t="s">
        <v>282</v>
      </c>
      <c r="B50" s="117" t="s">
        <v>283</v>
      </c>
    </row>
    <row r="51" spans="1:2">
      <c r="A51" s="116" t="s">
        <v>284</v>
      </c>
      <c r="B51" s="118" t="s">
        <v>285</v>
      </c>
    </row>
    <row r="52" spans="1:2">
      <c r="A52" s="116" t="s">
        <v>286</v>
      </c>
      <c r="B52" s="117" t="s">
        <v>287</v>
      </c>
    </row>
    <row r="53" spans="1:2">
      <c r="A53" s="116" t="s">
        <v>288</v>
      </c>
      <c r="B53" s="118" t="s">
        <v>289</v>
      </c>
    </row>
    <row r="54" spans="1:2">
      <c r="A54" s="116" t="s">
        <v>151</v>
      </c>
      <c r="B54" s="117" t="s">
        <v>290</v>
      </c>
    </row>
    <row r="55" spans="1:2">
      <c r="A55" s="116" t="s">
        <v>291</v>
      </c>
      <c r="B55" s="118" t="s">
        <v>292</v>
      </c>
    </row>
    <row r="56" spans="1:2">
      <c r="A56" s="116" t="s">
        <v>293</v>
      </c>
      <c r="B56" s="117" t="s">
        <v>294</v>
      </c>
    </row>
    <row r="57" spans="1:2">
      <c r="A57" s="116" t="s">
        <v>295</v>
      </c>
      <c r="B57" s="118" t="s">
        <v>296</v>
      </c>
    </row>
    <row r="58" spans="1:2">
      <c r="A58" s="116" t="s">
        <v>297</v>
      </c>
      <c r="B58" s="117" t="s">
        <v>298</v>
      </c>
    </row>
    <row r="59" spans="1:2">
      <c r="A59" s="116" t="s">
        <v>299</v>
      </c>
      <c r="B59" s="118" t="s">
        <v>300</v>
      </c>
    </row>
    <row r="60" spans="1:2">
      <c r="A60" s="116" t="s">
        <v>301</v>
      </c>
      <c r="B60" s="117" t="s">
        <v>302</v>
      </c>
    </row>
    <row r="61" spans="1:2">
      <c r="A61" s="116" t="s">
        <v>303</v>
      </c>
      <c r="B61" s="118" t="s">
        <v>304</v>
      </c>
    </row>
    <row r="62" spans="1:2">
      <c r="A62" s="116" t="s">
        <v>305</v>
      </c>
      <c r="B62" s="117" t="s">
        <v>306</v>
      </c>
    </row>
    <row r="63" spans="1:2">
      <c r="A63" s="116" t="s">
        <v>307</v>
      </c>
      <c r="B63" s="118" t="s">
        <v>308</v>
      </c>
    </row>
    <row r="64" spans="1:2">
      <c r="A64" s="116" t="s">
        <v>309</v>
      </c>
      <c r="B64" s="117" t="s">
        <v>310</v>
      </c>
    </row>
    <row r="65" spans="1:2">
      <c r="A65" s="116" t="s">
        <v>311</v>
      </c>
      <c r="B65" s="118" t="s">
        <v>312</v>
      </c>
    </row>
    <row r="66" spans="1:2">
      <c r="A66" s="116" t="s">
        <v>313</v>
      </c>
      <c r="B66" s="117" t="s">
        <v>314</v>
      </c>
    </row>
    <row r="67" spans="1:2">
      <c r="A67" s="116" t="s">
        <v>315</v>
      </c>
      <c r="B67" s="118" t="s">
        <v>316</v>
      </c>
    </row>
    <row r="68" spans="1:2">
      <c r="A68" s="116" t="s">
        <v>317</v>
      </c>
      <c r="B68" s="117" t="s">
        <v>318</v>
      </c>
    </row>
    <row r="69" spans="1:2">
      <c r="A69" s="116" t="s">
        <v>319</v>
      </c>
      <c r="B69" s="118" t="s">
        <v>320</v>
      </c>
    </row>
    <row r="70" spans="1:2">
      <c r="A70" s="116" t="s">
        <v>321</v>
      </c>
      <c r="B70" s="117" t="s">
        <v>322</v>
      </c>
    </row>
    <row r="71" spans="1:2">
      <c r="A71" s="116" t="s">
        <v>323</v>
      </c>
      <c r="B71" s="118" t="s">
        <v>324</v>
      </c>
    </row>
    <row r="72" spans="1:2">
      <c r="A72" s="116" t="s">
        <v>325</v>
      </c>
      <c r="B72" s="117" t="s">
        <v>326</v>
      </c>
    </row>
    <row r="73" spans="1:2">
      <c r="A73" s="116" t="s">
        <v>327</v>
      </c>
      <c r="B73" s="118" t="s">
        <v>328</v>
      </c>
    </row>
    <row r="74" spans="1:2">
      <c r="A74" s="116" t="s">
        <v>329</v>
      </c>
      <c r="B74" s="117" t="s">
        <v>330</v>
      </c>
    </row>
    <row r="75" spans="1:2">
      <c r="A75" s="116" t="s">
        <v>331</v>
      </c>
      <c r="B75" s="118" t="s">
        <v>332</v>
      </c>
    </row>
    <row r="76" spans="1:2">
      <c r="A76" s="116" t="s">
        <v>333</v>
      </c>
      <c r="B76" s="117" t="s">
        <v>334</v>
      </c>
    </row>
    <row r="77" spans="1:2">
      <c r="A77" s="116" t="s">
        <v>335</v>
      </c>
      <c r="B77" s="118" t="s">
        <v>336</v>
      </c>
    </row>
    <row r="78" spans="1:2">
      <c r="A78" s="116" t="s">
        <v>337</v>
      </c>
      <c r="B78" s="117" t="s">
        <v>338</v>
      </c>
    </row>
    <row r="79" spans="1:2">
      <c r="A79" s="116" t="s">
        <v>339</v>
      </c>
      <c r="B79" s="118" t="s">
        <v>340</v>
      </c>
    </row>
    <row r="80" spans="1:2">
      <c r="A80" s="116" t="s">
        <v>341</v>
      </c>
      <c r="B80" s="117" t="s">
        <v>342</v>
      </c>
    </row>
    <row r="81" spans="1:2">
      <c r="A81" s="116" t="s">
        <v>343</v>
      </c>
      <c r="B81" s="118" t="s">
        <v>344</v>
      </c>
    </row>
    <row r="82" spans="1:2">
      <c r="A82" s="116" t="s">
        <v>345</v>
      </c>
      <c r="B82" s="117" t="s">
        <v>346</v>
      </c>
    </row>
    <row r="83" spans="1:2">
      <c r="A83" s="116" t="s">
        <v>347</v>
      </c>
      <c r="B83" s="118" t="s">
        <v>348</v>
      </c>
    </row>
    <row r="84" spans="1:2">
      <c r="A84" s="116" t="s">
        <v>349</v>
      </c>
      <c r="B84" s="117" t="s">
        <v>350</v>
      </c>
    </row>
    <row r="85" spans="1:2">
      <c r="A85" s="116" t="s">
        <v>351</v>
      </c>
      <c r="B85" s="118" t="s">
        <v>352</v>
      </c>
    </row>
    <row r="86" spans="1:2">
      <c r="A86" s="116" t="s">
        <v>353</v>
      </c>
      <c r="B86" s="117" t="s">
        <v>354</v>
      </c>
    </row>
    <row r="87" spans="1:2">
      <c r="A87" s="116" t="s">
        <v>355</v>
      </c>
      <c r="B87" s="118" t="s">
        <v>356</v>
      </c>
    </row>
    <row r="88" spans="1:2">
      <c r="A88" s="116" t="s">
        <v>357</v>
      </c>
      <c r="B88" s="117" t="s">
        <v>358</v>
      </c>
    </row>
    <row r="89" spans="1:2">
      <c r="A89" s="116" t="s">
        <v>359</v>
      </c>
      <c r="B89" s="118" t="s">
        <v>360</v>
      </c>
    </row>
    <row r="90" spans="1:2">
      <c r="A90" s="116" t="s">
        <v>361</v>
      </c>
      <c r="B90" s="117" t="s">
        <v>362</v>
      </c>
    </row>
    <row r="91" spans="1:2">
      <c r="A91" s="116" t="s">
        <v>363</v>
      </c>
      <c r="B91" s="118" t="s">
        <v>364</v>
      </c>
    </row>
    <row r="92" spans="1:2">
      <c r="A92" s="116" t="s">
        <v>365</v>
      </c>
      <c r="B92" s="117" t="s">
        <v>366</v>
      </c>
    </row>
    <row r="93" spans="1:2">
      <c r="A93" s="116" t="s">
        <v>367</v>
      </c>
      <c r="B93" s="118" t="s">
        <v>368</v>
      </c>
    </row>
    <row r="94" spans="1:2">
      <c r="A94" s="116" t="s">
        <v>369</v>
      </c>
      <c r="B94" s="117" t="s">
        <v>354</v>
      </c>
    </row>
    <row r="95" spans="1:2">
      <c r="A95" s="116" t="s">
        <v>370</v>
      </c>
      <c r="B95" s="118" t="s">
        <v>371</v>
      </c>
    </row>
    <row r="96" spans="1:2">
      <c r="A96" s="116" t="s">
        <v>372</v>
      </c>
      <c r="B96" s="117" t="s">
        <v>373</v>
      </c>
    </row>
    <row r="97" spans="1:2">
      <c r="A97" s="116" t="s">
        <v>374</v>
      </c>
      <c r="B97" s="118" t="s">
        <v>375</v>
      </c>
    </row>
    <row r="98" spans="1:2">
      <c r="A98" s="116" t="s">
        <v>376</v>
      </c>
      <c r="B98" s="118" t="s">
        <v>377</v>
      </c>
    </row>
    <row r="99" spans="1:2">
      <c r="A99" s="116" t="s">
        <v>378</v>
      </c>
      <c r="B99" s="118" t="s">
        <v>379</v>
      </c>
    </row>
    <row r="100" spans="1:2">
      <c r="A100" s="116" t="s">
        <v>380</v>
      </c>
      <c r="B100" s="117" t="s">
        <v>381</v>
      </c>
    </row>
    <row r="101" spans="1:2">
      <c r="A101" s="116" t="s">
        <v>382</v>
      </c>
      <c r="B101" s="118" t="s">
        <v>383</v>
      </c>
    </row>
    <row r="102" spans="1:2">
      <c r="A102" s="116" t="s">
        <v>384</v>
      </c>
      <c r="B102" s="117" t="s">
        <v>385</v>
      </c>
    </row>
    <row r="103" spans="1:2">
      <c r="A103" s="116" t="s">
        <v>386</v>
      </c>
      <c r="B103" s="118" t="s">
        <v>234</v>
      </c>
    </row>
    <row r="104" spans="1:2">
      <c r="A104" s="116" t="s">
        <v>387</v>
      </c>
      <c r="B104" s="117" t="s">
        <v>388</v>
      </c>
    </row>
    <row r="105" spans="1:2">
      <c r="A105" s="116" t="s">
        <v>389</v>
      </c>
      <c r="B105" s="118" t="s">
        <v>390</v>
      </c>
    </row>
    <row r="106" spans="1:2">
      <c r="A106" s="116" t="s">
        <v>391</v>
      </c>
      <c r="B106" s="117" t="s">
        <v>392</v>
      </c>
    </row>
    <row r="107" spans="1:2">
      <c r="A107" s="116" t="s">
        <v>393</v>
      </c>
      <c r="B107" s="118" t="s">
        <v>394</v>
      </c>
    </row>
    <row r="108" spans="1:2">
      <c r="A108" s="116" t="s">
        <v>395</v>
      </c>
      <c r="B108" s="117" t="s">
        <v>396</v>
      </c>
    </row>
    <row r="109" spans="1:2">
      <c r="A109" s="116" t="s">
        <v>397</v>
      </c>
      <c r="B109" s="118" t="s">
        <v>398</v>
      </c>
    </row>
    <row r="110" spans="1:2">
      <c r="A110" s="116" t="s">
        <v>399</v>
      </c>
      <c r="B110" s="117" t="s">
        <v>400</v>
      </c>
    </row>
    <row r="111" spans="1:2">
      <c r="A111" s="116" t="s">
        <v>401</v>
      </c>
      <c r="B111" s="118" t="s">
        <v>402</v>
      </c>
    </row>
    <row r="112" spans="1:2">
      <c r="A112" s="116" t="s">
        <v>403</v>
      </c>
      <c r="B112" s="117" t="s">
        <v>404</v>
      </c>
    </row>
    <row r="113" spans="1:2">
      <c r="A113" s="116" t="s">
        <v>405</v>
      </c>
      <c r="B113" s="118" t="s">
        <v>406</v>
      </c>
    </row>
    <row r="114" spans="1:2">
      <c r="A114" s="116" t="s">
        <v>407</v>
      </c>
      <c r="B114" s="117" t="s">
        <v>408</v>
      </c>
    </row>
    <row r="115" spans="1:2">
      <c r="A115" s="116" t="s">
        <v>409</v>
      </c>
      <c r="B115" s="118" t="s">
        <v>410</v>
      </c>
    </row>
    <row r="116" spans="1:2">
      <c r="A116" s="116" t="s">
        <v>411</v>
      </c>
      <c r="B116" s="117" t="s">
        <v>412</v>
      </c>
    </row>
    <row r="117" spans="1:2">
      <c r="A117" s="116" t="s">
        <v>413</v>
      </c>
      <c r="B117" s="118" t="s">
        <v>414</v>
      </c>
    </row>
    <row r="118" spans="1:2">
      <c r="A118" s="116" t="s">
        <v>415</v>
      </c>
      <c r="B118" s="117" t="s">
        <v>416</v>
      </c>
    </row>
    <row r="119" spans="1:2">
      <c r="A119" s="116" t="s">
        <v>417</v>
      </c>
      <c r="B119" s="118" t="s">
        <v>418</v>
      </c>
    </row>
    <row r="120" spans="1:2">
      <c r="A120" s="116" t="s">
        <v>419</v>
      </c>
      <c r="B120" s="117" t="s">
        <v>402</v>
      </c>
    </row>
    <row r="121" spans="1:2">
      <c r="A121" s="116" t="s">
        <v>420</v>
      </c>
      <c r="B121" s="118" t="s">
        <v>421</v>
      </c>
    </row>
    <row r="122" spans="1:2">
      <c r="A122" s="116" t="s">
        <v>422</v>
      </c>
      <c r="B122" s="117" t="s">
        <v>423</v>
      </c>
    </row>
    <row r="123" spans="1:2">
      <c r="A123" s="116" t="s">
        <v>424</v>
      </c>
      <c r="B123" s="118" t="s">
        <v>425</v>
      </c>
    </row>
    <row r="124" spans="1:2">
      <c r="A124" s="116" t="s">
        <v>426</v>
      </c>
      <c r="B124" s="117" t="s">
        <v>427</v>
      </c>
    </row>
    <row r="125" spans="1:2">
      <c r="A125" s="116" t="s">
        <v>428</v>
      </c>
      <c r="B125" s="118" t="s">
        <v>429</v>
      </c>
    </row>
    <row r="126" spans="1:2">
      <c r="A126" s="116" t="s">
        <v>430</v>
      </c>
      <c r="B126" s="117" t="s">
        <v>431</v>
      </c>
    </row>
    <row r="127" spans="1:2">
      <c r="A127" s="116" t="s">
        <v>432</v>
      </c>
      <c r="B127" s="118" t="s">
        <v>433</v>
      </c>
    </row>
    <row r="128" spans="1:2">
      <c r="A128" s="116" t="s">
        <v>434</v>
      </c>
      <c r="B128" s="117" t="s">
        <v>435</v>
      </c>
    </row>
    <row r="129" spans="1:2">
      <c r="A129" s="116" t="s">
        <v>436</v>
      </c>
      <c r="B129" s="118" t="s">
        <v>437</v>
      </c>
    </row>
    <row r="130" spans="1:2">
      <c r="A130" s="116" t="s">
        <v>438</v>
      </c>
      <c r="B130" s="117" t="s">
        <v>439</v>
      </c>
    </row>
    <row r="131" spans="1:2">
      <c r="A131" s="116" t="s">
        <v>440</v>
      </c>
      <c r="B131" s="118" t="s">
        <v>441</v>
      </c>
    </row>
    <row r="132" spans="1:2">
      <c r="A132" s="116" t="s">
        <v>442</v>
      </c>
      <c r="B132" s="117" t="s">
        <v>443</v>
      </c>
    </row>
    <row r="133" spans="1:2">
      <c r="A133" s="116" t="s">
        <v>444</v>
      </c>
      <c r="B133" s="118" t="s">
        <v>445</v>
      </c>
    </row>
    <row r="134" spans="1:2">
      <c r="A134" s="116" t="s">
        <v>446</v>
      </c>
      <c r="B134" s="118" t="s">
        <v>383</v>
      </c>
    </row>
    <row r="135" spans="1:2">
      <c r="A135" s="116" t="s">
        <v>447</v>
      </c>
      <c r="B135" s="118" t="s">
        <v>216</v>
      </c>
    </row>
    <row r="136" spans="1:2">
      <c r="A136" s="116" t="s">
        <v>448</v>
      </c>
      <c r="B136" s="117" t="s">
        <v>449</v>
      </c>
    </row>
    <row r="137" spans="1:2">
      <c r="A137" s="116" t="s">
        <v>450</v>
      </c>
      <c r="B137" s="118" t="s">
        <v>451</v>
      </c>
    </row>
    <row r="138" spans="1:2">
      <c r="A138" s="116" t="s">
        <v>452</v>
      </c>
      <c r="B138" s="118" t="s">
        <v>453</v>
      </c>
    </row>
    <row r="139" spans="1:2">
      <c r="A139" s="116" t="s">
        <v>454</v>
      </c>
      <c r="B139" s="118" t="s">
        <v>455</v>
      </c>
    </row>
    <row r="140" spans="1:2">
      <c r="A140" s="116" t="s">
        <v>456</v>
      </c>
      <c r="B140" s="117" t="s">
        <v>457</v>
      </c>
    </row>
    <row r="141" spans="1:2">
      <c r="A141" s="116" t="s">
        <v>458</v>
      </c>
      <c r="B141" s="118" t="s">
        <v>459</v>
      </c>
    </row>
    <row r="142" spans="1:2">
      <c r="A142" s="116" t="s">
        <v>460</v>
      </c>
      <c r="B142" s="117" t="s">
        <v>418</v>
      </c>
    </row>
    <row r="143" spans="1:2">
      <c r="A143" s="116" t="s">
        <v>461</v>
      </c>
      <c r="B143" s="118" t="s">
        <v>462</v>
      </c>
    </row>
    <row r="144" spans="1:2">
      <c r="A144" s="116" t="s">
        <v>463</v>
      </c>
      <c r="B144" s="117" t="s">
        <v>418</v>
      </c>
    </row>
    <row r="145" spans="1:2">
      <c r="A145" s="116" t="s">
        <v>464</v>
      </c>
      <c r="B145" s="118" t="s">
        <v>465</v>
      </c>
    </row>
    <row r="146" spans="1:2">
      <c r="A146" s="116" t="s">
        <v>466</v>
      </c>
      <c r="B146" s="117" t="s">
        <v>467</v>
      </c>
    </row>
    <row r="147" spans="1:2">
      <c r="A147" s="116" t="s">
        <v>468</v>
      </c>
      <c r="B147" s="118" t="s">
        <v>469</v>
      </c>
    </row>
    <row r="148" spans="1:2">
      <c r="A148" s="116" t="s">
        <v>470</v>
      </c>
      <c r="B148" s="117" t="s">
        <v>451</v>
      </c>
    </row>
    <row r="149" spans="1:2">
      <c r="A149" s="116" t="s">
        <v>471</v>
      </c>
      <c r="B149" s="118" t="s">
        <v>472</v>
      </c>
    </row>
    <row r="150" spans="1:2">
      <c r="A150" s="116" t="s">
        <v>473</v>
      </c>
      <c r="B150" s="117" t="s">
        <v>474</v>
      </c>
    </row>
    <row r="151" spans="1:2">
      <c r="A151" s="116" t="s">
        <v>475</v>
      </c>
      <c r="B151" s="118" t="s">
        <v>476</v>
      </c>
    </row>
    <row r="152" spans="1:2">
      <c r="A152" s="116" t="s">
        <v>477</v>
      </c>
      <c r="B152" s="117" t="s">
        <v>478</v>
      </c>
    </row>
    <row r="153" spans="1:2">
      <c r="A153" s="116" t="s">
        <v>479</v>
      </c>
      <c r="B153" s="118" t="s">
        <v>480</v>
      </c>
    </row>
    <row r="154" spans="1:2">
      <c r="A154" s="116" t="s">
        <v>481</v>
      </c>
      <c r="B154" s="117" t="s">
        <v>457</v>
      </c>
    </row>
    <row r="155" spans="1:2">
      <c r="A155" s="116" t="s">
        <v>482</v>
      </c>
      <c r="B155" s="118" t="s">
        <v>478</v>
      </c>
    </row>
    <row r="156" spans="1:2">
      <c r="A156" s="116" t="s">
        <v>483</v>
      </c>
      <c r="B156" s="117" t="s">
        <v>484</v>
      </c>
    </row>
    <row r="157" spans="1:2">
      <c r="A157" s="116" t="s">
        <v>485</v>
      </c>
      <c r="B157" s="118" t="s">
        <v>486</v>
      </c>
    </row>
    <row r="158" spans="1:2">
      <c r="A158" s="116" t="s">
        <v>487</v>
      </c>
      <c r="B158" s="117" t="s">
        <v>488</v>
      </c>
    </row>
    <row r="159" spans="1:2">
      <c r="A159" s="116" t="s">
        <v>489</v>
      </c>
      <c r="B159" s="118" t="s">
        <v>490</v>
      </c>
    </row>
    <row r="160" spans="1:2">
      <c r="A160" s="116" t="s">
        <v>491</v>
      </c>
      <c r="B160" s="118" t="s">
        <v>492</v>
      </c>
    </row>
    <row r="161" spans="1:2">
      <c r="A161" s="116" t="s">
        <v>493</v>
      </c>
      <c r="B161" s="118" t="s">
        <v>494</v>
      </c>
    </row>
    <row r="162" spans="1:2">
      <c r="A162" s="116" t="s">
        <v>495</v>
      </c>
      <c r="B162" s="117" t="s">
        <v>496</v>
      </c>
    </row>
    <row r="163" spans="1:2">
      <c r="A163" s="116" t="s">
        <v>497</v>
      </c>
      <c r="B163" s="118" t="s">
        <v>498</v>
      </c>
    </row>
    <row r="164" spans="1:2">
      <c r="A164" s="116" t="s">
        <v>499</v>
      </c>
      <c r="B164" s="117" t="s">
        <v>500</v>
      </c>
    </row>
    <row r="165" spans="1:2">
      <c r="A165" s="116" t="s">
        <v>501</v>
      </c>
      <c r="B165" s="118" t="s">
        <v>502</v>
      </c>
    </row>
    <row r="166" spans="1:2">
      <c r="A166" s="116" t="s">
        <v>503</v>
      </c>
      <c r="B166" s="117" t="s">
        <v>504</v>
      </c>
    </row>
    <row r="167" spans="1:2">
      <c r="A167" s="116" t="s">
        <v>505</v>
      </c>
      <c r="B167" s="118" t="s">
        <v>506</v>
      </c>
    </row>
    <row r="168" spans="1:2">
      <c r="A168" s="116" t="s">
        <v>507</v>
      </c>
      <c r="B168" s="117" t="s">
        <v>508</v>
      </c>
    </row>
    <row r="169" spans="1:2">
      <c r="A169" s="116" t="s">
        <v>509</v>
      </c>
      <c r="B169" s="118" t="s">
        <v>510</v>
      </c>
    </row>
    <row r="170" spans="1:2">
      <c r="A170" s="116" t="s">
        <v>511</v>
      </c>
      <c r="B170" s="117" t="s">
        <v>512</v>
      </c>
    </row>
    <row r="171" spans="1:2">
      <c r="A171" s="116" t="s">
        <v>513</v>
      </c>
      <c r="B171" s="118" t="s">
        <v>514</v>
      </c>
    </row>
    <row r="172" spans="1:2">
      <c r="A172" s="116" t="s">
        <v>515</v>
      </c>
      <c r="B172" s="117" t="s">
        <v>516</v>
      </c>
    </row>
    <row r="173" spans="1:2">
      <c r="A173" s="116" t="s">
        <v>517</v>
      </c>
      <c r="B173" s="118" t="s">
        <v>518</v>
      </c>
    </row>
    <row r="174" spans="1:2">
      <c r="A174" s="116" t="s">
        <v>519</v>
      </c>
      <c r="B174" s="117" t="s">
        <v>520</v>
      </c>
    </row>
    <row r="175" spans="1:2">
      <c r="A175" s="116" t="s">
        <v>521</v>
      </c>
      <c r="B175" s="118" t="s">
        <v>522</v>
      </c>
    </row>
    <row r="176" spans="1:2">
      <c r="A176" s="116" t="s">
        <v>523</v>
      </c>
      <c r="B176" s="117" t="s">
        <v>524</v>
      </c>
    </row>
    <row r="177" spans="1:2">
      <c r="A177" s="116" t="s">
        <v>525</v>
      </c>
      <c r="B177" s="118" t="s">
        <v>526</v>
      </c>
    </row>
    <row r="178" spans="1:2">
      <c r="A178" s="116" t="s">
        <v>527</v>
      </c>
      <c r="B178" s="117" t="s">
        <v>445</v>
      </c>
    </row>
    <row r="179" spans="1:2">
      <c r="A179" s="116" t="s">
        <v>528</v>
      </c>
      <c r="B179" s="118" t="s">
        <v>529</v>
      </c>
    </row>
    <row r="180" spans="1:2">
      <c r="A180" s="116" t="s">
        <v>530</v>
      </c>
      <c r="B180" s="117" t="s">
        <v>531</v>
      </c>
    </row>
    <row r="181" spans="1:2">
      <c r="A181" s="116" t="s">
        <v>532</v>
      </c>
      <c r="B181" s="118" t="s">
        <v>533</v>
      </c>
    </row>
    <row r="182" spans="1:2">
      <c r="A182" s="116" t="s">
        <v>534</v>
      </c>
      <c r="B182" s="118" t="s">
        <v>535</v>
      </c>
    </row>
    <row r="183" spans="1:2">
      <c r="A183" s="116" t="s">
        <v>536</v>
      </c>
      <c r="B183" s="118" t="s">
        <v>431</v>
      </c>
    </row>
    <row r="184" spans="1:2">
      <c r="A184" s="116" t="s">
        <v>537</v>
      </c>
      <c r="B184" s="118" t="s">
        <v>453</v>
      </c>
    </row>
    <row r="185" spans="1:2">
      <c r="A185" s="116" t="s">
        <v>538</v>
      </c>
      <c r="B185" s="118" t="s">
        <v>539</v>
      </c>
    </row>
    <row r="186" spans="1:2">
      <c r="A186" s="116" t="s">
        <v>540</v>
      </c>
      <c r="B186" s="117" t="s">
        <v>449</v>
      </c>
    </row>
    <row r="187" spans="1:2">
      <c r="A187" s="116" t="s">
        <v>541</v>
      </c>
      <c r="B187" s="118" t="s">
        <v>542</v>
      </c>
    </row>
    <row r="188" spans="1:2">
      <c r="A188" s="116" t="s">
        <v>543</v>
      </c>
      <c r="B188" s="117" t="s">
        <v>544</v>
      </c>
    </row>
    <row r="189" spans="1:2">
      <c r="A189" s="116" t="s">
        <v>545</v>
      </c>
      <c r="B189" s="118" t="s">
        <v>546</v>
      </c>
    </row>
    <row r="190" spans="1:2">
      <c r="A190" s="116" t="s">
        <v>547</v>
      </c>
      <c r="B190" s="117" t="s">
        <v>548</v>
      </c>
    </row>
    <row r="191" spans="1:2">
      <c r="A191" s="116" t="s">
        <v>549</v>
      </c>
      <c r="B191" s="118" t="s">
        <v>550</v>
      </c>
    </row>
    <row r="192" spans="1:2">
      <c r="A192" s="116" t="s">
        <v>551</v>
      </c>
      <c r="B192" s="117" t="s">
        <v>552</v>
      </c>
    </row>
    <row r="193" spans="1:2">
      <c r="A193" s="116" t="s">
        <v>553</v>
      </c>
      <c r="B193" s="118" t="s">
        <v>554</v>
      </c>
    </row>
    <row r="194" spans="1:2">
      <c r="A194" s="116" t="s">
        <v>555</v>
      </c>
      <c r="B194" s="117" t="s">
        <v>556</v>
      </c>
    </row>
    <row r="195" spans="1:2">
      <c r="A195" s="116" t="s">
        <v>557</v>
      </c>
      <c r="B195" s="118" t="s">
        <v>558</v>
      </c>
    </row>
    <row r="196" spans="1:2">
      <c r="A196" s="116" t="s">
        <v>559</v>
      </c>
      <c r="B196" s="117" t="s">
        <v>560</v>
      </c>
    </row>
    <row r="197" spans="1:2">
      <c r="A197" s="116" t="s">
        <v>561</v>
      </c>
      <c r="B197" s="118" t="s">
        <v>472</v>
      </c>
    </row>
    <row r="198" spans="1:2">
      <c r="A198" s="116" t="s">
        <v>562</v>
      </c>
      <c r="B198" s="117" t="s">
        <v>535</v>
      </c>
    </row>
    <row r="199" spans="1:2">
      <c r="A199" s="116" t="s">
        <v>563</v>
      </c>
      <c r="B199" s="118" t="s">
        <v>564</v>
      </c>
    </row>
    <row r="200" spans="1:2">
      <c r="A200" s="116" t="s">
        <v>565</v>
      </c>
      <c r="B200" s="118" t="s">
        <v>566</v>
      </c>
    </row>
    <row r="201" spans="1:2">
      <c r="A201" s="116" t="s">
        <v>567</v>
      </c>
      <c r="B201" s="118" t="s">
        <v>568</v>
      </c>
    </row>
    <row r="202" spans="1:2">
      <c r="A202" s="116" t="s">
        <v>569</v>
      </c>
      <c r="B202" s="118" t="s">
        <v>570</v>
      </c>
    </row>
    <row r="203" spans="1:2">
      <c r="A203" s="116" t="s">
        <v>134</v>
      </c>
      <c r="B203" s="118" t="s">
        <v>571</v>
      </c>
    </row>
    <row r="204" spans="1:2">
      <c r="A204" s="116" t="s">
        <v>572</v>
      </c>
      <c r="B204" s="117" t="s">
        <v>573</v>
      </c>
    </row>
    <row r="205" spans="1:2">
      <c r="A205" s="116" t="s">
        <v>574</v>
      </c>
      <c r="B205" s="118" t="s">
        <v>575</v>
      </c>
    </row>
    <row r="206" spans="1:2">
      <c r="A206" s="116" t="s">
        <v>576</v>
      </c>
      <c r="B206" s="118" t="s">
        <v>577</v>
      </c>
    </row>
    <row r="207" spans="1:2">
      <c r="A207" s="116" t="s">
        <v>578</v>
      </c>
      <c r="B207" s="118" t="s">
        <v>579</v>
      </c>
    </row>
    <row r="208" spans="1:2">
      <c r="A208" s="116" t="s">
        <v>580</v>
      </c>
      <c r="B208" s="118" t="s">
        <v>581</v>
      </c>
    </row>
    <row r="209" spans="1:2">
      <c r="A209" s="116" t="s">
        <v>582</v>
      </c>
      <c r="B209" s="118" t="s">
        <v>583</v>
      </c>
    </row>
    <row r="210" spans="1:2">
      <c r="A210" s="116" t="s">
        <v>584</v>
      </c>
      <c r="B210" s="117" t="s">
        <v>585</v>
      </c>
    </row>
    <row r="211" spans="1:2">
      <c r="A211" s="116" t="s">
        <v>586</v>
      </c>
      <c r="B211" s="118" t="s">
        <v>462</v>
      </c>
    </row>
    <row r="212" spans="1:2">
      <c r="A212" s="116" t="s">
        <v>587</v>
      </c>
      <c r="B212" s="117" t="s">
        <v>588</v>
      </c>
    </row>
    <row r="213" spans="1:2">
      <c r="A213" s="116" t="s">
        <v>589</v>
      </c>
      <c r="B213" s="118" t="s">
        <v>590</v>
      </c>
    </row>
    <row r="214" spans="1:2">
      <c r="A214" s="116" t="s">
        <v>591</v>
      </c>
      <c r="B214" s="119" t="s">
        <v>457</v>
      </c>
    </row>
    <row r="215" spans="1:2">
      <c r="A215" s="116" t="s">
        <v>592</v>
      </c>
      <c r="B215" s="118" t="s">
        <v>593</v>
      </c>
    </row>
    <row r="216" spans="1:2">
      <c r="A216" s="116" t="s">
        <v>594</v>
      </c>
      <c r="B216" s="117" t="s">
        <v>449</v>
      </c>
    </row>
    <row r="217" spans="1:2">
      <c r="A217" s="116" t="s">
        <v>595</v>
      </c>
      <c r="B217" s="118" t="s">
        <v>596</v>
      </c>
    </row>
    <row r="218" spans="1:2">
      <c r="A218" s="116" t="s">
        <v>597</v>
      </c>
      <c r="B218" s="118" t="s">
        <v>564</v>
      </c>
    </row>
    <row r="219" spans="1:2">
      <c r="A219" s="116" t="s">
        <v>598</v>
      </c>
      <c r="B219" s="118" t="s">
        <v>599</v>
      </c>
    </row>
    <row r="220" spans="1:2">
      <c r="A220" s="116" t="s">
        <v>600</v>
      </c>
      <c r="B220" s="118" t="s">
        <v>601</v>
      </c>
    </row>
    <row r="221" spans="1:2">
      <c r="A221" s="120" t="s">
        <v>602</v>
      </c>
      <c r="B221" s="120" t="s">
        <v>603</v>
      </c>
    </row>
    <row r="222" spans="1:2">
      <c r="A222" s="120" t="s">
        <v>604</v>
      </c>
      <c r="B222" s="120" t="s">
        <v>605</v>
      </c>
    </row>
    <row r="223" spans="1:2">
      <c r="A223" s="120" t="s">
        <v>606</v>
      </c>
      <c r="B223" s="120" t="s">
        <v>607</v>
      </c>
    </row>
    <row r="224" spans="1:2">
      <c r="A224" s="120" t="s">
        <v>608</v>
      </c>
      <c r="B224" s="120" t="s">
        <v>609</v>
      </c>
    </row>
    <row r="225" spans="1:2">
      <c r="A225" s="120" t="s">
        <v>610</v>
      </c>
      <c r="B225" s="120" t="s">
        <v>611</v>
      </c>
    </row>
    <row r="226" spans="1:2">
      <c r="A226" s="120" t="s">
        <v>612</v>
      </c>
      <c r="B226" s="120" t="s">
        <v>613</v>
      </c>
    </row>
    <row r="227" spans="1:2">
      <c r="A227" s="120" t="s">
        <v>614</v>
      </c>
      <c r="B227" s="120" t="s">
        <v>615</v>
      </c>
    </row>
    <row r="228" spans="1:2">
      <c r="A228" s="120" t="s">
        <v>616</v>
      </c>
      <c r="B228" s="120" t="s">
        <v>617</v>
      </c>
    </row>
    <row r="229" spans="1:2">
      <c r="A229" s="120" t="s">
        <v>618</v>
      </c>
      <c r="B229" s="120" t="s">
        <v>619</v>
      </c>
    </row>
    <row r="230" spans="1:2">
      <c r="A230" s="120" t="s">
        <v>620</v>
      </c>
      <c r="B230" s="120" t="s">
        <v>621</v>
      </c>
    </row>
    <row r="231" spans="1:2">
      <c r="A231" s="120" t="s">
        <v>622</v>
      </c>
      <c r="B231" s="120" t="s">
        <v>623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"/>
  <sheetViews>
    <sheetView tabSelected="1" topLeftCell="A45" workbookViewId="0">
      <selection activeCell="G27" sqref="G27"/>
    </sheetView>
  </sheetViews>
  <sheetFormatPr defaultColWidth="10.5714285714286" defaultRowHeight="12.75"/>
  <cols>
    <col min="1" max="1" width="23" style="1" customWidth="1"/>
    <col min="2" max="2" width="12.5714285714286" style="2" customWidth="1"/>
    <col min="3" max="3" width="29.4285714285714" style="1" customWidth="1"/>
    <col min="4" max="4" width="15.2857142857143" style="1" customWidth="1"/>
    <col min="5" max="5" width="14" style="1" customWidth="1"/>
    <col min="6" max="6" width="9" style="1" customWidth="1"/>
    <col min="7" max="7" width="10.5714285714286" style="1"/>
    <col min="8" max="8" width="15" style="1" customWidth="1"/>
    <col min="9" max="9" width="26.7142857142857" style="1" customWidth="1"/>
    <col min="10" max="10" width="10.2857142857143" style="1" customWidth="1"/>
    <col min="11" max="11" width="10.5714285714286" style="1" hidden="1" customWidth="1"/>
    <col min="12" max="16384" width="10.5714285714286" style="1"/>
  </cols>
  <sheetData>
    <row r="1" ht="13.15" customHeight="1" spans="1:11">
      <c r="A1" s="3"/>
      <c r="B1" s="4"/>
      <c r="C1" s="5"/>
      <c r="D1" s="5"/>
      <c r="E1" s="6"/>
      <c r="G1" s="7" t="s">
        <v>624</v>
      </c>
      <c r="H1" s="7"/>
      <c r="I1" s="7"/>
      <c r="J1" s="92"/>
      <c r="K1" s="93"/>
    </row>
    <row r="2" spans="1:11">
      <c r="A2" s="8" t="s">
        <v>625</v>
      </c>
      <c r="E2" s="9"/>
      <c r="G2" s="7"/>
      <c r="H2" s="7"/>
      <c r="I2" s="7"/>
      <c r="J2" s="94"/>
      <c r="K2" s="95"/>
    </row>
    <row r="3" ht="26.25" spans="1:11">
      <c r="A3" s="10">
        <f>'CAMPOS DE INGRESO DML'!B1</f>
        <v>500</v>
      </c>
      <c r="B3" s="11" t="s">
        <v>626</v>
      </c>
      <c r="C3" s="11"/>
      <c r="D3" s="12"/>
      <c r="E3" s="9"/>
      <c r="G3" s="7"/>
      <c r="H3" s="7"/>
      <c r="I3" s="7"/>
      <c r="J3" s="94"/>
      <c r="K3" s="95"/>
    </row>
    <row r="4" spans="1:11">
      <c r="A4" s="8"/>
      <c r="E4" s="9"/>
      <c r="G4" s="7"/>
      <c r="H4" s="7"/>
      <c r="I4" s="7"/>
      <c r="J4" s="94"/>
      <c r="K4" s="95"/>
    </row>
    <row r="5" ht="13.5" spans="1:11">
      <c r="A5" s="13"/>
      <c r="B5" s="14"/>
      <c r="C5" s="15"/>
      <c r="D5" s="15"/>
      <c r="E5" s="16"/>
      <c r="G5" s="7"/>
      <c r="H5" s="7"/>
      <c r="I5" s="7"/>
      <c r="J5" s="94"/>
      <c r="K5" s="96"/>
    </row>
    <row r="7" ht="15.75" spans="1:9">
      <c r="A7" s="17" t="s">
        <v>627</v>
      </c>
      <c r="B7" s="18"/>
      <c r="C7" s="19">
        <f>'CAMPOS DE INGRESO RAYPAC'!B3</f>
        <v>45885</v>
      </c>
      <c r="D7" s="20"/>
      <c r="E7" s="21"/>
      <c r="G7" s="22" t="s">
        <v>132</v>
      </c>
      <c r="H7" s="22"/>
      <c r="I7" s="97" t="str">
        <f>'CAMPOS DE INGRESO DML'!D4</f>
        <v>BUENO</v>
      </c>
    </row>
    <row r="8" ht="15.75" spans="1:9">
      <c r="A8" s="23"/>
      <c r="B8" s="24"/>
      <c r="C8" s="25"/>
      <c r="D8" s="25"/>
      <c r="E8" s="26"/>
      <c r="G8" s="27" t="s">
        <v>141</v>
      </c>
      <c r="H8" s="28"/>
      <c r="I8" s="97" t="str">
        <f>'CAMPOS DE INGRESO DML'!D5</f>
        <v>CON TORNILLOS FALTANTES</v>
      </c>
    </row>
    <row r="9" ht="15.75" spans="1:9">
      <c r="A9" s="29" t="s">
        <v>628</v>
      </c>
      <c r="B9" s="30"/>
      <c r="C9" s="31" t="str">
        <f>'CAMPOS DE INGRESO RAYPAC'!K3</f>
        <v>Ezequiel Pacheco</v>
      </c>
      <c r="D9" s="32"/>
      <c r="E9" s="26"/>
      <c r="G9" s="22" t="s">
        <v>150</v>
      </c>
      <c r="H9" s="22"/>
      <c r="I9" s="97" t="str">
        <f>'CAMPOS DE INGRESO DML'!D6</f>
        <v>FALTANTE</v>
      </c>
    </row>
    <row r="10" ht="15.75" spans="1:9">
      <c r="A10" s="33"/>
      <c r="B10" s="24"/>
      <c r="C10" s="25"/>
      <c r="D10" s="25"/>
      <c r="E10" s="26"/>
      <c r="G10" s="27" t="s">
        <v>156</v>
      </c>
      <c r="H10" s="28"/>
      <c r="I10" s="97" t="str">
        <f>'CAMPOS DE INGRESO DML'!D7</f>
        <v>OK</v>
      </c>
    </row>
    <row r="11" ht="15.75" spans="1:9">
      <c r="A11" s="29" t="s">
        <v>629</v>
      </c>
      <c r="B11" s="30"/>
      <c r="C11" s="31" t="str">
        <f>'CAMPOS DE INGRESO RAYPAC'!D3</f>
        <v>BAYER</v>
      </c>
      <c r="D11" s="25"/>
      <c r="E11" s="26"/>
      <c r="G11" s="27" t="s">
        <v>159</v>
      </c>
      <c r="H11" s="28"/>
      <c r="I11" s="97" t="str">
        <f>'CAMPOS DE INGRESO DML'!D8</f>
        <v>OK</v>
      </c>
    </row>
    <row r="12" ht="15.75" spans="1:9">
      <c r="A12" s="29"/>
      <c r="B12" s="24"/>
      <c r="C12" s="30"/>
      <c r="D12" s="25"/>
      <c r="E12" s="26"/>
      <c r="G12" s="22" t="s">
        <v>163</v>
      </c>
      <c r="H12" s="22"/>
      <c r="I12" s="97" t="str">
        <f>'CAMPOS DE INGRESO DML'!D9</f>
        <v>A PROBAR</v>
      </c>
    </row>
    <row r="13" ht="15.75" spans="1:9">
      <c r="A13" s="33" t="s">
        <v>630</v>
      </c>
      <c r="B13" s="24"/>
      <c r="C13" s="31" t="str">
        <f>'CAMPOS DE INGRESO RAYPAC'!F3</f>
        <v>ITA24</v>
      </c>
      <c r="D13" s="34" t="s">
        <v>631</v>
      </c>
      <c r="E13" s="35">
        <f>'CAMPOS DE INGRESO RAYPAC'!E3</f>
        <v>24000052</v>
      </c>
      <c r="G13" s="22" t="s">
        <v>166</v>
      </c>
      <c r="H13" s="22"/>
      <c r="I13" s="97" t="str">
        <f>'CAMPOS DE INGRESO DML'!D10</f>
        <v>A PROBAR</v>
      </c>
    </row>
    <row r="14" ht="15.75" spans="1:9">
      <c r="A14" s="33"/>
      <c r="B14" s="24"/>
      <c r="C14" s="36"/>
      <c r="G14" s="27" t="s">
        <v>167</v>
      </c>
      <c r="H14" s="28"/>
      <c r="I14" s="97" t="str">
        <f>'CAMPOS DE INGRESO DML'!D11</f>
        <v>DESGASTADA</v>
      </c>
    </row>
    <row r="15" ht="15.75" spans="1:9">
      <c r="A15" s="29" t="s">
        <v>632</v>
      </c>
      <c r="B15" s="30"/>
      <c r="C15" s="37">
        <f>'CAMPOS DE INGRESO DML'!A3</f>
        <v>45891</v>
      </c>
      <c r="D15" s="34" t="s">
        <v>633</v>
      </c>
      <c r="E15" s="38" t="str">
        <f>'CAMPOS DE INGRESO RAYPAC'!H3</f>
        <v>NO APLICA</v>
      </c>
      <c r="G15" s="27" t="s">
        <v>168</v>
      </c>
      <c r="H15" s="28"/>
      <c r="I15" s="97" t="str">
        <f>'CAMPOS DE INGRESO DML'!D12</f>
        <v>A PROBAR</v>
      </c>
    </row>
    <row r="16" ht="15.75" spans="1:9">
      <c r="A16" s="29"/>
      <c r="B16" s="30"/>
      <c r="C16" s="39"/>
      <c r="D16" s="34"/>
      <c r="E16" s="40"/>
      <c r="G16" s="22" t="s">
        <v>169</v>
      </c>
      <c r="H16" s="22"/>
      <c r="I16" s="97" t="str">
        <f>'CAMPOS DE INGRESO DML'!D13</f>
        <v>OK</v>
      </c>
    </row>
    <row r="17" ht="15.75" spans="1:9">
      <c r="A17" s="41" t="s">
        <v>634</v>
      </c>
      <c r="B17" s="42"/>
      <c r="C17" s="43">
        <f>'CAMPOS DE INGRESO DML'!Q3</f>
        <v>45894</v>
      </c>
      <c r="D17" s="34" t="s">
        <v>635</v>
      </c>
      <c r="E17" s="38" t="str">
        <f>'CAMPOS DE INGRESO RAYPAC'!I3</f>
        <v>NO APLICA</v>
      </c>
      <c r="G17" s="22" t="s">
        <v>170</v>
      </c>
      <c r="H17" s="22"/>
      <c r="I17" s="97" t="str">
        <f>'CAMPOS DE INGRESO DML'!D14</f>
        <v>OK</v>
      </c>
    </row>
    <row r="18" customHeight="1" spans="1:9">
      <c r="A18" s="44"/>
      <c r="B18" s="45"/>
      <c r="C18" s="44"/>
      <c r="D18" s="44"/>
      <c r="E18" s="46"/>
      <c r="G18" s="27" t="s">
        <v>171</v>
      </c>
      <c r="H18" s="28"/>
      <c r="I18" s="97">
        <f>'CAMPOS DE INGRESO DML'!D15</f>
        <v>0</v>
      </c>
    </row>
    <row r="19" ht="18" spans="1:5">
      <c r="A19" s="47" t="s">
        <v>636</v>
      </c>
      <c r="B19" s="48"/>
      <c r="C19" s="48"/>
      <c r="D19" s="48"/>
      <c r="E19" s="49"/>
    </row>
    <row r="20" spans="1:5">
      <c r="A20" s="50" t="str">
        <f>'CAMPOS DE INGRESO RAYPAC'!J3</f>
        <v>NO SELLA</v>
      </c>
      <c r="B20" s="51"/>
      <c r="C20" s="51"/>
      <c r="D20" s="51"/>
      <c r="E20" s="52"/>
    </row>
    <row r="21" spans="1:5">
      <c r="A21" s="53"/>
      <c r="B21" s="54"/>
      <c r="C21" s="54"/>
      <c r="D21" s="54"/>
      <c r="E21" s="55"/>
    </row>
    <row r="22" spans="1:5">
      <c r="A22" s="56"/>
      <c r="B22" s="57"/>
      <c r="C22" s="57"/>
      <c r="D22" s="57"/>
      <c r="E22" s="58"/>
    </row>
    <row r="23" spans="1:5">
      <c r="A23" s="59"/>
      <c r="B23" s="59"/>
      <c r="C23" s="59"/>
      <c r="D23" s="59"/>
      <c r="E23" s="59"/>
    </row>
    <row r="24" ht="18" spans="1:5">
      <c r="A24" s="47" t="s">
        <v>637</v>
      </c>
      <c r="B24" s="48"/>
      <c r="C24" s="48"/>
      <c r="D24" s="48"/>
      <c r="E24" s="49"/>
    </row>
    <row r="25" ht="12.6" customHeight="1" spans="1:5">
      <c r="A25" s="60" t="str">
        <f>'CAMPOS DE INGRESO DML'!E3</f>
        <v>MAQUINA CON VARIOS DETALLES</v>
      </c>
      <c r="B25" s="61"/>
      <c r="C25" s="61"/>
      <c r="D25" s="61"/>
      <c r="E25" s="62"/>
    </row>
    <row r="26" ht="12.6" customHeight="1" spans="1:5">
      <c r="A26" s="63"/>
      <c r="B26" s="64"/>
      <c r="C26" s="64"/>
      <c r="D26" s="64"/>
      <c r="E26" s="65"/>
    </row>
    <row r="27" ht="12.6" customHeight="1" spans="1:5">
      <c r="A27" s="63"/>
      <c r="B27" s="64"/>
      <c r="C27" s="64"/>
      <c r="D27" s="64"/>
      <c r="E27" s="65"/>
    </row>
    <row r="28" ht="12.6" customHeight="1" spans="1:5">
      <c r="A28" s="63"/>
      <c r="B28" s="64"/>
      <c r="C28" s="64"/>
      <c r="D28" s="64"/>
      <c r="E28" s="65"/>
    </row>
    <row r="29" ht="12.6" customHeight="1" spans="1:5">
      <c r="A29" s="63"/>
      <c r="B29" s="64"/>
      <c r="C29" s="64"/>
      <c r="D29" s="64"/>
      <c r="E29" s="65"/>
    </row>
    <row r="30" ht="12.6" customHeight="1" spans="1:5">
      <c r="A30" s="63"/>
      <c r="B30" s="64"/>
      <c r="C30" s="64"/>
      <c r="D30" s="64"/>
      <c r="E30" s="65"/>
    </row>
    <row r="31" ht="12.6" customHeight="1" spans="1:5">
      <c r="A31" s="63"/>
      <c r="B31" s="64"/>
      <c r="C31" s="64"/>
      <c r="D31" s="64"/>
      <c r="E31" s="65"/>
    </row>
    <row r="32" ht="12.6" customHeight="1" spans="1:5">
      <c r="A32" s="63"/>
      <c r="B32" s="64"/>
      <c r="C32" s="64"/>
      <c r="D32" s="64"/>
      <c r="E32" s="65"/>
    </row>
    <row r="33" ht="12.6" customHeight="1" spans="1:5">
      <c r="A33" s="63"/>
      <c r="B33" s="64"/>
      <c r="C33" s="64"/>
      <c r="D33" s="64"/>
      <c r="E33" s="65"/>
    </row>
    <row r="34" ht="12.6" customHeight="1" spans="1:5">
      <c r="A34" s="66"/>
      <c r="B34" s="64"/>
      <c r="C34" s="64"/>
      <c r="D34" s="64"/>
      <c r="E34" s="65"/>
    </row>
    <row r="35" ht="12.6" customHeight="1" spans="1:5">
      <c r="A35" s="66"/>
      <c r="B35" s="64"/>
      <c r="C35" s="64"/>
      <c r="D35" s="64"/>
      <c r="E35" s="65"/>
    </row>
    <row r="36" ht="12.6" customHeight="1" spans="1:5">
      <c r="A36" s="66"/>
      <c r="B36" s="64"/>
      <c r="C36" s="64"/>
      <c r="D36" s="64"/>
      <c r="E36" s="65"/>
    </row>
    <row r="37" ht="12.6" customHeight="1" spans="1:5">
      <c r="A37" s="67"/>
      <c r="B37" s="68"/>
      <c r="C37" s="68"/>
      <c r="D37" s="68"/>
      <c r="E37" s="69"/>
    </row>
    <row r="38" ht="18" spans="1:5">
      <c r="A38" s="47" t="s">
        <v>638</v>
      </c>
      <c r="B38" s="48"/>
      <c r="C38" s="48"/>
      <c r="D38" s="48"/>
      <c r="E38" s="49"/>
    </row>
    <row r="39" ht="12.6" customHeight="1" spans="1:5">
      <c r="A39" s="70" t="str">
        <f>'CAMPOS DE INGRESO DML'!F3</f>
        <v>REPUESTOS COLOCADOS</v>
      </c>
      <c r="B39" s="70"/>
      <c r="C39" s="70"/>
      <c r="D39" s="70"/>
      <c r="E39" s="70"/>
    </row>
    <row r="40" ht="12.6" customHeight="1" spans="1:5">
      <c r="A40" s="71"/>
      <c r="B40" s="71"/>
      <c r="C40" s="71"/>
      <c r="D40" s="71"/>
      <c r="E40" s="71"/>
    </row>
    <row r="41" ht="12.6" customHeight="1" spans="1:5">
      <c r="A41" s="71"/>
      <c r="B41" s="71"/>
      <c r="C41" s="71"/>
      <c r="D41" s="71"/>
      <c r="E41" s="71"/>
    </row>
    <row r="42" ht="12.6" customHeight="1" spans="1:5">
      <c r="A42" s="71"/>
      <c r="B42" s="71"/>
      <c r="C42" s="71"/>
      <c r="D42" s="71"/>
      <c r="E42" s="71"/>
    </row>
    <row r="43" ht="12.6" customHeight="1" spans="1:5">
      <c r="A43" s="71"/>
      <c r="B43" s="71"/>
      <c r="C43" s="71"/>
      <c r="D43" s="71"/>
      <c r="E43" s="71"/>
    </row>
    <row r="44" ht="12.6" customHeight="1" spans="1:5">
      <c r="A44" s="71"/>
      <c r="B44" s="71"/>
      <c r="C44" s="71"/>
      <c r="D44" s="71"/>
      <c r="E44" s="71"/>
    </row>
    <row r="45" ht="12.6" customHeight="1" spans="1:5">
      <c r="A45" s="72"/>
      <c r="B45" s="72"/>
      <c r="C45" s="72"/>
      <c r="D45" s="72"/>
      <c r="E45" s="72"/>
    </row>
    <row r="46" spans="1:5">
      <c r="A46" s="73"/>
      <c r="B46" s="74"/>
      <c r="C46" s="73"/>
      <c r="D46" s="73"/>
      <c r="E46" s="73"/>
    </row>
    <row r="47" ht="18" spans="1:5">
      <c r="A47" s="75" t="s">
        <v>114</v>
      </c>
      <c r="B47" s="76"/>
      <c r="C47" s="76"/>
      <c r="D47" s="76"/>
      <c r="E47" s="77"/>
    </row>
    <row r="48" ht="42.75" customHeight="1" spans="1:5">
      <c r="A48" s="78" t="s">
        <v>639</v>
      </c>
      <c r="B48" s="79" t="s">
        <v>640</v>
      </c>
      <c r="C48" s="78" t="s">
        <v>641</v>
      </c>
      <c r="D48" s="78" t="s">
        <v>128</v>
      </c>
      <c r="E48" s="78" t="s">
        <v>129</v>
      </c>
    </row>
    <row r="49" ht="22.5" spans="1:5">
      <c r="A49" s="80">
        <f>'CAMPOS DE INGRESO DML'!I4</f>
        <v>1</v>
      </c>
      <c r="B49" s="81" t="str">
        <f>'CAMPOS DE INGRESO DML'!G4</f>
        <v>D006120</v>
      </c>
      <c r="C49" s="80" t="str">
        <f>'CAMPOS DE INGRESO DML'!H4</f>
        <v>WEAR PLATE</v>
      </c>
      <c r="D49" s="82" t="b">
        <v>1</v>
      </c>
      <c r="E49" s="83"/>
    </row>
    <row r="50" ht="22.5" spans="1:5">
      <c r="A50" s="80">
        <f>'CAMPOS DE INGRESO DML'!I5</f>
        <v>1</v>
      </c>
      <c r="B50" s="81" t="str">
        <f>'CAMPOS DE INGRESO DML'!G5</f>
        <v>A000180</v>
      </c>
      <c r="C50" s="80" t="str">
        <f>'CAMPOS DE INGRESO DML'!H5</f>
        <v>WELDING GROUP ASSEMBLED</v>
      </c>
      <c r="D50" s="82" t="b">
        <v>1</v>
      </c>
      <c r="E50" s="83"/>
    </row>
    <row r="51" ht="22.5" spans="1:5">
      <c r="A51" s="80">
        <f>'CAMPOS DE INGRESO DML'!I6</f>
        <v>2</v>
      </c>
      <c r="B51" s="81" t="str">
        <f>'CAMPOS DE INGRESO DML'!G6</f>
        <v>B500273</v>
      </c>
      <c r="C51" s="80" t="str">
        <f>'CAMPOS DE INGRESO DML'!H6</f>
        <v>SCREW TCEI M3X10 UNI 5931</v>
      </c>
      <c r="D51" s="82" t="b">
        <v>1</v>
      </c>
      <c r="E51" s="83"/>
    </row>
    <row r="52" ht="22.5" spans="1:5">
      <c r="A52" s="80">
        <f>'CAMPOS DE INGRESO DML'!I7</f>
        <v>0</v>
      </c>
      <c r="B52" s="81">
        <f>'CAMPOS DE INGRESO DML'!G7</f>
        <v>0</v>
      </c>
      <c r="C52" s="80" t="str">
        <f>'CAMPOS DE INGRESO DML'!H7</f>
        <v/>
      </c>
      <c r="D52" s="82" t="b">
        <v>1</v>
      </c>
      <c r="E52" s="83"/>
    </row>
    <row r="53" ht="22.5" spans="1:5">
      <c r="A53" s="80">
        <f>'CAMPOS DE INGRESO DML'!I8</f>
        <v>0</v>
      </c>
      <c r="B53" s="81">
        <f>'CAMPOS DE INGRESO DML'!G8</f>
        <v>0</v>
      </c>
      <c r="C53" s="80" t="str">
        <f>'CAMPOS DE INGRESO DML'!H8</f>
        <v/>
      </c>
      <c r="D53" s="82" t="b">
        <v>1</v>
      </c>
      <c r="E53" s="83"/>
    </row>
    <row r="54" ht="22.5" spans="1:5">
      <c r="A54" s="80">
        <f>'CAMPOS DE INGRESO DML'!I9</f>
        <v>0</v>
      </c>
      <c r="B54" s="81">
        <f>'CAMPOS DE INGRESO DML'!G9</f>
        <v>0</v>
      </c>
      <c r="C54" s="80" t="str">
        <f>'CAMPOS DE INGRESO DML'!H9</f>
        <v/>
      </c>
      <c r="D54" s="82" t="b">
        <v>1</v>
      </c>
      <c r="E54" s="83"/>
    </row>
    <row r="55" ht="22.5" spans="1:5">
      <c r="A55" s="80">
        <f>'CAMPOS DE INGRESO DML'!I10</f>
        <v>0</v>
      </c>
      <c r="B55" s="81">
        <f>'CAMPOS DE INGRESO DML'!G10</f>
        <v>0</v>
      </c>
      <c r="C55" s="80" t="str">
        <f>'CAMPOS DE INGRESO DML'!H10</f>
        <v/>
      </c>
      <c r="D55" s="82" t="b">
        <v>1</v>
      </c>
      <c r="E55" s="83"/>
    </row>
    <row r="56" ht="22.5" spans="1:5">
      <c r="A56" s="80">
        <f>'CAMPOS DE INGRESO DML'!I11</f>
        <v>0</v>
      </c>
      <c r="B56" s="81">
        <f>'CAMPOS DE INGRESO DML'!G11</f>
        <v>0</v>
      </c>
      <c r="C56" s="80" t="str">
        <f>'CAMPOS DE INGRESO DML'!H11</f>
        <v/>
      </c>
      <c r="D56" s="82" t="b">
        <v>1</v>
      </c>
      <c r="E56" s="83"/>
    </row>
    <row r="57" ht="22.5" spans="1:5">
      <c r="A57" s="80">
        <f>'CAMPOS DE INGRESO DML'!I12</f>
        <v>0</v>
      </c>
      <c r="B57" s="81">
        <f>'CAMPOS DE INGRESO DML'!G12</f>
        <v>0</v>
      </c>
      <c r="C57" s="80" t="str">
        <f>'CAMPOS DE INGRESO DML'!H12</f>
        <v/>
      </c>
      <c r="D57" s="82" t="b">
        <v>1</v>
      </c>
      <c r="E57" s="83"/>
    </row>
    <row r="58" ht="22.5" spans="1:5">
      <c r="A58" s="80">
        <f>'CAMPOS DE INGRESO DML'!I13</f>
        <v>0</v>
      </c>
      <c r="B58" s="81">
        <f>'CAMPOS DE INGRESO DML'!G13</f>
        <v>0</v>
      </c>
      <c r="C58" s="80" t="str">
        <f>'CAMPOS DE INGRESO DML'!H13</f>
        <v/>
      </c>
      <c r="D58" s="82" t="b">
        <v>1</v>
      </c>
      <c r="E58" s="83"/>
    </row>
    <row r="59" ht="22.5" spans="1:5">
      <c r="A59" s="80">
        <f>'CAMPOS DE INGRESO DML'!I14</f>
        <v>0</v>
      </c>
      <c r="B59" s="81">
        <f>'CAMPOS DE INGRESO DML'!G14</f>
        <v>0</v>
      </c>
      <c r="C59" s="80" t="str">
        <f>'CAMPOS DE INGRESO DML'!H14</f>
        <v/>
      </c>
      <c r="D59" s="82" t="b">
        <v>1</v>
      </c>
      <c r="E59" s="83"/>
    </row>
    <row r="60" ht="22.5" spans="1:5">
      <c r="A60" s="80">
        <f>'CAMPOS DE INGRESO DML'!I15</f>
        <v>0</v>
      </c>
      <c r="B60" s="81">
        <f>'CAMPOS DE INGRESO DML'!G15</f>
        <v>0</v>
      </c>
      <c r="C60" s="80" t="str">
        <f>'CAMPOS DE INGRESO DML'!H15</f>
        <v/>
      </c>
      <c r="D60" s="82" t="b">
        <v>1</v>
      </c>
      <c r="E60" s="83"/>
    </row>
    <row r="61" spans="1:3">
      <c r="A61" s="84"/>
      <c r="B61" s="74"/>
      <c r="C61" s="74"/>
    </row>
    <row r="62" ht="15" customHeight="1" spans="1:5">
      <c r="A62" s="85" t="s">
        <v>642</v>
      </c>
      <c r="B62" s="85"/>
      <c r="C62" s="85"/>
      <c r="D62" s="86">
        <f>'CAMPOS DE INGRESO DML'!P3</f>
        <v>10200</v>
      </c>
      <c r="E62" s="87"/>
    </row>
    <row r="63" ht="13.5" spans="1:5">
      <c r="A63" s="88"/>
      <c r="B63" s="88"/>
      <c r="C63" s="89"/>
      <c r="D63" s="89"/>
      <c r="E63" s="89"/>
    </row>
    <row r="64" ht="15" customHeight="1" spans="1:6">
      <c r="A64" s="90" t="s">
        <v>643</v>
      </c>
      <c r="B64" s="91"/>
      <c r="C64" s="91"/>
      <c r="D64" s="91"/>
      <c r="E64" s="91"/>
      <c r="F64" s="8"/>
    </row>
    <row r="65" ht="15" customHeight="1" spans="1:6">
      <c r="A65" s="98" t="s">
        <v>644</v>
      </c>
      <c r="B65" s="99"/>
      <c r="C65" s="99"/>
      <c r="D65" s="100" t="str">
        <f>'CAMPOS DE INGRESO RAYPAC'!G3</f>
        <v>A BATERIA</v>
      </c>
      <c r="E65" s="101"/>
      <c r="F65" s="8"/>
    </row>
    <row r="66" ht="15" customHeight="1" spans="1:5">
      <c r="A66" s="102" t="s">
        <v>645</v>
      </c>
      <c r="B66" s="103"/>
      <c r="C66" s="103"/>
      <c r="D66" s="103"/>
      <c r="E66" s="104"/>
    </row>
    <row r="67" ht="15" customHeight="1" spans="1:5">
      <c r="A67" s="98" t="s">
        <v>646</v>
      </c>
      <c r="B67" s="99"/>
      <c r="C67" s="99"/>
      <c r="D67" s="105" t="str">
        <f>'CAMPOS DE INGRESO DML'!N3</f>
        <v>NO APLICA</v>
      </c>
      <c r="E67" s="106"/>
    </row>
    <row r="68" ht="15" customHeight="1" spans="1:5">
      <c r="A68" s="98" t="s">
        <v>647</v>
      </c>
      <c r="B68" s="99"/>
      <c r="C68" s="107"/>
      <c r="D68" s="108" t="str">
        <f>'CAMPOS DE INGRESO DML'!L3</f>
        <v>NO APLICA</v>
      </c>
      <c r="E68" s="109"/>
    </row>
    <row r="69" ht="21" customHeight="1" spans="1:5">
      <c r="A69" s="98" t="s">
        <v>648</v>
      </c>
      <c r="B69" s="99"/>
      <c r="C69" s="99"/>
      <c r="D69" s="110" t="str">
        <f>'CAMPOS DE INGRESO RAYPAC'!C3</f>
        <v>REPARACIÓN</v>
      </c>
      <c r="E69" s="106"/>
    </row>
    <row r="70" ht="19.9" customHeight="1" spans="1:5">
      <c r="A70" s="111" t="s">
        <v>649</v>
      </c>
      <c r="B70" s="111"/>
      <c r="C70" s="111"/>
      <c r="D70" s="112" t="str">
        <f>'CAMPOS DE INGRESO DML'!B3</f>
        <v>RICARDO</v>
      </c>
      <c r="E70" s="112"/>
    </row>
    <row r="71" ht="22.35" customHeight="1" spans="1:5">
      <c r="A71" s="113" t="s">
        <v>650</v>
      </c>
      <c r="B71" s="113"/>
      <c r="C71" s="113"/>
      <c r="D71" s="113"/>
      <c r="E71" s="113"/>
    </row>
    <row r="72" ht="3.6" customHeight="1" spans="1:5">
      <c r="A72" s="113"/>
      <c r="B72" s="113"/>
      <c r="C72" s="113"/>
      <c r="D72" s="113"/>
      <c r="E72" s="113"/>
    </row>
  </sheetData>
  <mergeCells count="34">
    <mergeCell ref="B3:C3"/>
    <mergeCell ref="G8:H8"/>
    <mergeCell ref="A9:B9"/>
    <mergeCell ref="G10:H10"/>
    <mergeCell ref="A11:B11"/>
    <mergeCell ref="G11:H11"/>
    <mergeCell ref="G14:H14"/>
    <mergeCell ref="A15:B15"/>
    <mergeCell ref="G15:H15"/>
    <mergeCell ref="A17:B17"/>
    <mergeCell ref="G18:H18"/>
    <mergeCell ref="A19:E19"/>
    <mergeCell ref="A24:E24"/>
    <mergeCell ref="A38:E38"/>
    <mergeCell ref="A47:E47"/>
    <mergeCell ref="A62:C62"/>
    <mergeCell ref="D62:E62"/>
    <mergeCell ref="A64:E64"/>
    <mergeCell ref="A65:C65"/>
    <mergeCell ref="D65:E65"/>
    <mergeCell ref="A66:E66"/>
    <mergeCell ref="A67:C67"/>
    <mergeCell ref="D67:E67"/>
    <mergeCell ref="A68:C68"/>
    <mergeCell ref="D68:E68"/>
    <mergeCell ref="A69:C69"/>
    <mergeCell ref="D69:E69"/>
    <mergeCell ref="A70:C70"/>
    <mergeCell ref="D70:E70"/>
    <mergeCell ref="A20:E22"/>
    <mergeCell ref="G1:I5"/>
    <mergeCell ref="A25:E37"/>
    <mergeCell ref="A39:E45"/>
    <mergeCell ref="A71:E72"/>
  </mergeCells>
  <printOptions horizontalCentered="1"/>
  <pageMargins left="0.390277777777778" right="0.196527777777778" top="0.39375" bottom="0.39375" header="0.511805555555555" footer="0.511805555555555"/>
  <pageSetup paperSize="9" firstPageNumber="0" orientation="portrait" useFirstPageNumber="1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CAMPOS DE INGRESO RAYPAC</vt:lpstr>
      <vt:lpstr>CAMPOS DE INGRESO DML</vt:lpstr>
      <vt:lpstr>MATRIZ DE REPUESTOS </vt:lpstr>
      <vt:lpstr>FICHA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 Puesto 4</dc:creator>
  <cp:lastModifiedBy>Andrea</cp:lastModifiedBy>
  <cp:revision>9</cp:revision>
  <dcterms:created xsi:type="dcterms:W3CDTF">2017-09-21T18:53:00Z</dcterms:created>
  <dcterms:modified xsi:type="dcterms:W3CDTF">2025-11-18T03:03:27Z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8CCC9BFFE19143858698EEFBA48BEE2B_12</vt:lpwstr>
  </property>
  <property fmtid="{D5CDD505-2E9C-101B-9397-08002B2CF9AE}" pid="9" name="KSOProductBuildVer">
    <vt:lpwstr>3082-12.2.0.23155</vt:lpwstr>
  </property>
</Properties>
</file>
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7cccd715d47df42/David/RAYPAC/SERVICE RAYPAC/"/>
    </mc:Choice>
  </mc:AlternateContent>
  <xr:revisionPtr revIDLastSave="19" documentId="8_{FF9B3D30-2AA1-484F-94D3-B8D5A47A7738}" xr6:coauthVersionLast="47" xr6:coauthVersionMax="47" xr10:uidLastSave="{F79DA334-145D-43BB-A65C-BC9BD07C5208}"/>
  <bookViews>
    <workbookView xWindow="-120" yWindow="-120" windowWidth="21840" windowHeight="13140" xr2:uid="{00000000-000D-0000-FFFF-FFFF00000000}"/>
  </bookViews>
  <sheets>
    <sheet name="sin Formato Tabla (2)" sheetId="4" r:id="rId1"/>
  </sheets>
  <definedNames>
    <definedName name="_xlnm._FilterDatabase" localSheetId="0" hidden="1">'sin Formato Tabla (2)'!$A$8:$K$259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8" i="4" l="1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49" i="4"/>
  <c r="J250" i="4"/>
  <c r="J251" i="4"/>
  <c r="J252" i="4"/>
  <c r="J253" i="4"/>
  <c r="J254" i="4"/>
  <c r="J255" i="4"/>
  <c r="J256" i="4"/>
  <c r="J257" i="4"/>
  <c r="J81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58" i="4"/>
  <c r="J259" i="4"/>
  <c r="J9" i="4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l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42" i="4" s="1"/>
  <c r="A243" i="4" l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</calcChain>
</file>

<file path=xl/sharedStrings.xml><?xml version="1.0" encoding="utf-8"?>
<sst xmlns="http://schemas.openxmlformats.org/spreadsheetml/2006/main" count="1795" uniqueCount="530">
  <si>
    <t>DML</t>
  </si>
  <si>
    <t xml:space="preserve">STOCK DE REPUESTOS GENERAL </t>
  </si>
  <si>
    <t>Ubicación</t>
  </si>
  <si>
    <t>Stock</t>
  </si>
  <si>
    <t>CODIGO</t>
  </si>
  <si>
    <t>ITEM</t>
  </si>
  <si>
    <t>TOTAL</t>
  </si>
  <si>
    <t>UBICACIÓN ACTUAL</t>
  </si>
  <si>
    <t>CODIGO DE UBICACIÓN</t>
  </si>
  <si>
    <t>X SIGNIFICA - ULTIMA CARGA GENERAL DE STOCK 26-06-2025</t>
  </si>
  <si>
    <t>A000006</t>
  </si>
  <si>
    <t>HT TENSION MOTOR GROUP</t>
  </si>
  <si>
    <t>X</t>
  </si>
  <si>
    <t>A000007</t>
  </si>
  <si>
    <t>LT TENSION MOTOR GROUP</t>
  </si>
  <si>
    <t>A000038</t>
  </si>
  <si>
    <t>WELDING GROUP</t>
  </si>
  <si>
    <t>A000062</t>
  </si>
  <si>
    <t>CUTTER (ITA 40)</t>
  </si>
  <si>
    <t>A000097</t>
  </si>
  <si>
    <t>SIGNALS CARD WITH LIGHT TRANSP</t>
  </si>
  <si>
    <t>VINIERON 2 ACRILICOS CUBRE LED SUELTOS NO CONTABILIZADO - AHORA 1 PIEZA QUEDA</t>
  </si>
  <si>
    <t>A000155</t>
  </si>
  <si>
    <t>SUSPENSION HOOK ITA40-24-25</t>
  </si>
  <si>
    <t>A000177</t>
  </si>
  <si>
    <t>ITA25 TENSION MOTOR GROUP</t>
  </si>
  <si>
    <t>A000178</t>
  </si>
  <si>
    <t>ITA24 TENSION MOTOR GROUP</t>
  </si>
  <si>
    <t>A000179</t>
  </si>
  <si>
    <t>CONNECTING ROD ASS.Y</t>
  </si>
  <si>
    <t>A000180</t>
  </si>
  <si>
    <t>WELDING GROUP ASSEMBLED</t>
  </si>
  <si>
    <t>X 1 SOLICITADO POR DANIELA EL 14/8   -  X 2 SOLICITADO POR DANIELA  8/9 -2025</t>
  </si>
  <si>
    <t>A000181</t>
  </si>
  <si>
    <t>EXCENTRIC SHAFT ASSEMB.</t>
  </si>
  <si>
    <t>A000184</t>
  </si>
  <si>
    <t>ASSEMBLED FEEDWHEEL SUPPORT</t>
  </si>
  <si>
    <t>A000185</t>
  </si>
  <si>
    <t>CONNECTING LEVER ASS Y</t>
  </si>
  <si>
    <t>A000237</t>
  </si>
  <si>
    <t>EXCENTRIC SHAFT</t>
  </si>
  <si>
    <t>A000238</t>
  </si>
  <si>
    <t>WELDING GROUP ASSEMBLED REVIS</t>
  </si>
  <si>
    <t>A002000</t>
  </si>
  <si>
    <t>MAIN FRAME ASSY</t>
  </si>
  <si>
    <t>A002040</t>
  </si>
  <si>
    <t>A002070</t>
  </si>
  <si>
    <t>WELDING FOOT SUPPORT ASS.Y</t>
  </si>
  <si>
    <t>A004650</t>
  </si>
  <si>
    <t>A800511</t>
  </si>
  <si>
    <t>ASS. DRIVE A6030-Z25 -SERVO</t>
  </si>
  <si>
    <t>B100032</t>
  </si>
  <si>
    <t>PIPE 6X8 (Len.mtrs) (ITA 40)</t>
  </si>
  <si>
    <t>B100310</t>
  </si>
  <si>
    <t>SWING ELBOW RL31 8 1/4 (ITA 40)</t>
  </si>
  <si>
    <t>B100311</t>
  </si>
  <si>
    <t>RING</t>
  </si>
  <si>
    <t>B200308</t>
  </si>
  <si>
    <t>FAST AIR CONN. ANI 64MF 8X10</t>
  </si>
  <si>
    <t>USO TALLER</t>
  </si>
  <si>
    <t>B300019</t>
  </si>
  <si>
    <t>O-RING GASKET RING</t>
  </si>
  <si>
    <t>B300019L</t>
  </si>
  <si>
    <t>B300022</t>
  </si>
  <si>
    <t>O-RING 3300 D85</t>
  </si>
  <si>
    <t>B300428</t>
  </si>
  <si>
    <t>O-RING 103</t>
  </si>
  <si>
    <t>B300429</t>
  </si>
  <si>
    <t>O-RING 101</t>
  </si>
  <si>
    <t>B400001</t>
  </si>
  <si>
    <t>ROLLER BEARING BK0810 (IT 10/12)</t>
  </si>
  <si>
    <t>B400003</t>
  </si>
  <si>
    <t>ROLLER HK0808</t>
  </si>
  <si>
    <t>B400186</t>
  </si>
  <si>
    <t>BEARING 61808-RS1</t>
  </si>
  <si>
    <t>B400187</t>
  </si>
  <si>
    <t>ROLLER BEARING 5X8X8</t>
  </si>
  <si>
    <t>B400188</t>
  </si>
  <si>
    <t>INA HF0812</t>
  </si>
  <si>
    <t>B400332</t>
  </si>
  <si>
    <t>609 ZZ SKF</t>
  </si>
  <si>
    <t>B400333</t>
  </si>
  <si>
    <t>BEARING 61902ZZ</t>
  </si>
  <si>
    <t>B400480</t>
  </si>
  <si>
    <t>HK1214</t>
  </si>
  <si>
    <t>B500035</t>
  </si>
  <si>
    <t>SCREW TCEI M4X10 UNI5931</t>
  </si>
  <si>
    <t>B500036L</t>
  </si>
  <si>
    <t>SCREW</t>
  </si>
  <si>
    <t>B500037</t>
  </si>
  <si>
    <t>SCREW TCEI M4X8 UNI 5931</t>
  </si>
  <si>
    <t>B500039</t>
  </si>
  <si>
    <t>SCREW TCEI UNC 10X1/2'</t>
  </si>
  <si>
    <t>B500041</t>
  </si>
  <si>
    <t>SCREW TCEI M4X30 UNI5931</t>
  </si>
  <si>
    <t>B500044</t>
  </si>
  <si>
    <t>SCREW TCEI M4X45UNI5931</t>
  </si>
  <si>
    <t>B500048</t>
  </si>
  <si>
    <t>SCREW TPSCE M4X6 UNI5933</t>
  </si>
  <si>
    <t>B500049</t>
  </si>
  <si>
    <t>SCREW TCEI M4X6 DIN 7984</t>
  </si>
  <si>
    <t>B500068</t>
  </si>
  <si>
    <t>SCREW TCEI M3X8 UNI5931</t>
  </si>
  <si>
    <t>B500092</t>
  </si>
  <si>
    <t>SCREW UNC 1/4X1-1/2" (ITA 40)</t>
  </si>
  <si>
    <t>B500140</t>
  </si>
  <si>
    <t>SCREW TCEI M5X30 UNI5931</t>
  </si>
  <si>
    <t>B500202</t>
  </si>
  <si>
    <t>VITE TCEI M4X20 UNI5931</t>
  </si>
  <si>
    <t>B500208</t>
  </si>
  <si>
    <t>SCREW TBCR BN13577 3,5X20 KA35</t>
  </si>
  <si>
    <t>B500211</t>
  </si>
  <si>
    <t>LOCK. WASHER - ITA 25</t>
  </si>
  <si>
    <t>B500214</t>
  </si>
  <si>
    <t>SCREW TPSCE M4X8UNI5933</t>
  </si>
  <si>
    <t>B500273</t>
  </si>
  <si>
    <t>SCREW TCEI M3X10 UNI 5931</t>
  </si>
  <si>
    <t>B500275</t>
  </si>
  <si>
    <t>SCREW TCI M2X10 UNI 6107</t>
  </si>
  <si>
    <t>B500336</t>
  </si>
  <si>
    <t>SCREW TSPCE M4X10 UNI 5933</t>
  </si>
  <si>
    <t>B500379</t>
  </si>
  <si>
    <t>SCREW STEI M4X5 UNI 5923</t>
  </si>
  <si>
    <t>B500395</t>
  </si>
  <si>
    <t>SCREW 3.5X16</t>
  </si>
  <si>
    <t>X NO ESTABA INCLUIDO EN CAJA D DEL STOCK ENVIADO 23/6 S/COD</t>
  </si>
  <si>
    <t>B500418</t>
  </si>
  <si>
    <t>SCREW UNC 10-24X3/8' ANSI B18.3</t>
  </si>
  <si>
    <t>B500464</t>
  </si>
  <si>
    <t>SCHNORR W.R150 DIAM.3 - ITA 25</t>
  </si>
  <si>
    <t>B500465</t>
  </si>
  <si>
    <t>SCREW TCEI M5X14 UNI5931</t>
  </si>
  <si>
    <t>B500522</t>
  </si>
  <si>
    <t>SCREW TBCR BN13577 3,5X30 KA35</t>
  </si>
  <si>
    <t>B500523</t>
  </si>
  <si>
    <t>CYLINDER SCREW M3x6 UNI5931</t>
  </si>
  <si>
    <t>B500524</t>
  </si>
  <si>
    <t>SCREW TBIC M5X10 UNI7687</t>
  </si>
  <si>
    <t>B500529</t>
  </si>
  <si>
    <t>SCREW M3X20 DIN7505A</t>
  </si>
  <si>
    <t>B500548</t>
  </si>
  <si>
    <t>SCREW STEI M4X8 UNI 5923</t>
  </si>
  <si>
    <t>B600013</t>
  </si>
  <si>
    <t>CIRCLIP NACIONALES</t>
  </si>
  <si>
    <t>B600059</t>
  </si>
  <si>
    <t>CUP WASHE CB 25x12,2x1,5 (10/12)</t>
  </si>
  <si>
    <t>B600112</t>
  </si>
  <si>
    <t>WASHER PS12X18X0.5 DIN988</t>
  </si>
  <si>
    <t>B600159</t>
  </si>
  <si>
    <t>CIRCLIP A12 DIN 471</t>
  </si>
  <si>
    <t>B600189</t>
  </si>
  <si>
    <t>CIRCLIP RA3.2 DIN6799</t>
  </si>
  <si>
    <t xml:space="preserve">X NO ESTABA INCLUIDO EN CAJA D DEL STOCK ENVIADO 23/6 </t>
  </si>
  <si>
    <t>B600190</t>
  </si>
  <si>
    <t>CIRCLIP D8 7435</t>
  </si>
  <si>
    <t>B600192</t>
  </si>
  <si>
    <t>SAFETY CIRCLIPS D4 BN13193</t>
  </si>
  <si>
    <t>B600343</t>
  </si>
  <si>
    <t>SPRING G13-025 ISO10243</t>
  </si>
  <si>
    <t>B600345</t>
  </si>
  <si>
    <t>CIRCLIP D34 UNI 7435</t>
  </si>
  <si>
    <t>B600346</t>
  </si>
  <si>
    <t>CIRCLIP D15 UNI 7435</t>
  </si>
  <si>
    <t>B600376</t>
  </si>
  <si>
    <t>WASHER PS 15X21X0.5</t>
  </si>
  <si>
    <t>B600389</t>
  </si>
  <si>
    <t>WASHER PS 22x30x0,2</t>
  </si>
  <si>
    <t>B600391</t>
  </si>
  <si>
    <t>WASHER PS 6X12X0.2</t>
  </si>
  <si>
    <t>B600402</t>
  </si>
  <si>
    <t>CIRCLIP RA4 UNI 7434</t>
  </si>
  <si>
    <t>B600457</t>
  </si>
  <si>
    <t>CIRCLIP D7 DIN 471</t>
  </si>
  <si>
    <t>X EN EL STOCK ENVIADO DECIA 8 PERO HABIA 9</t>
  </si>
  <si>
    <t>B700101</t>
  </si>
  <si>
    <t>PIN 6X28 DIN6325</t>
  </si>
  <si>
    <t>B700103</t>
  </si>
  <si>
    <t>ELASTIC PIN 3x10 UNI6874</t>
  </si>
  <si>
    <t>B700325</t>
  </si>
  <si>
    <t>SPHERE DIAM .5MM</t>
  </si>
  <si>
    <t>B700419</t>
  </si>
  <si>
    <t>ELASTIC PIN4X20 U6874</t>
  </si>
  <si>
    <t>B700525</t>
  </si>
  <si>
    <t>PIN 6X20 ISO8735</t>
  </si>
  <si>
    <t>B800364</t>
  </si>
  <si>
    <t>ELECTRONIC POWER CARD (ITA 20)</t>
  </si>
  <si>
    <t>B800366</t>
  </si>
  <si>
    <t>KEYBOARD</t>
  </si>
  <si>
    <t>B800378</t>
  </si>
  <si>
    <t>WELDING SWITCH WITH CABLE</t>
  </si>
  <si>
    <t>B800396</t>
  </si>
  <si>
    <t>TENSION MICROSWITCH</t>
  </si>
  <si>
    <t>4 PIDIO RAYPAC 22/7/2025</t>
  </si>
  <si>
    <t>B800397</t>
  </si>
  <si>
    <t>POWER CABLES KIT</t>
  </si>
  <si>
    <t>X 1 PEDIDO POR DANIELA 8/9 2025</t>
  </si>
  <si>
    <t>B800424</t>
  </si>
  <si>
    <t>ELECTRONIC POWER CARD</t>
  </si>
  <si>
    <t>B800460</t>
  </si>
  <si>
    <t>WELDING SWITCH WITH CABLE D2FD</t>
  </si>
  <si>
    <t>X 4 PIDIO RAYPAC 22/7/2025</t>
  </si>
  <si>
    <t>B800479</t>
  </si>
  <si>
    <t>CABLE CONNECTION BACKWORDS COMPA</t>
  </si>
  <si>
    <t>B800510</t>
  </si>
  <si>
    <t>OPERATING BUTTON</t>
  </si>
  <si>
    <t>B800515</t>
  </si>
  <si>
    <t>B800530</t>
  </si>
  <si>
    <t>CONNECTION CABLE</t>
  </si>
  <si>
    <t>B800531</t>
  </si>
  <si>
    <t>ELECTRONIC SIGNALS CARD-N</t>
  </si>
  <si>
    <t>B800532</t>
  </si>
  <si>
    <t>POWER CARD ITA 24</t>
  </si>
  <si>
    <t>B800533</t>
  </si>
  <si>
    <t>POWER CARD ITA 25</t>
  </si>
  <si>
    <t>B800534</t>
  </si>
  <si>
    <t>CONNECTION CABLE-N</t>
  </si>
  <si>
    <t>B800583</t>
  </si>
  <si>
    <t>BATTERY CONNECTION CARD</t>
  </si>
  <si>
    <t>D000010</t>
  </si>
  <si>
    <t>WELDING FOOT PIN</t>
  </si>
  <si>
    <t>D000200</t>
  </si>
  <si>
    <t>FRONT GUIDESTRAP</t>
  </si>
  <si>
    <t>D000250</t>
  </si>
  <si>
    <t>D000280</t>
  </si>
  <si>
    <t>REAR GUIDESTRAP SPRING</t>
  </si>
  <si>
    <t>D000330</t>
  </si>
  <si>
    <t>FREEWHELL SUPPORT</t>
  </si>
  <si>
    <t>D000390</t>
  </si>
  <si>
    <t>LOCKING COVER</t>
  </si>
  <si>
    <t>D000400</t>
  </si>
  <si>
    <t>GEAR</t>
  </si>
  <si>
    <t>D000430</t>
  </si>
  <si>
    <t>EPICICLOIDAL GEARBOX</t>
  </si>
  <si>
    <t>D000620</t>
  </si>
  <si>
    <t>MEDIUM SPRING (ITA 10)</t>
  </si>
  <si>
    <t>D000670</t>
  </si>
  <si>
    <t>VALVE SPRING (ITA 40)</t>
  </si>
  <si>
    <t>D000780</t>
  </si>
  <si>
    <t>LOCKING STRAP PLATE (ITA 10/12)</t>
  </si>
  <si>
    <t>D001140</t>
  </si>
  <si>
    <t>TENSION SPRING BE.C</t>
  </si>
  <si>
    <t>D001250</t>
  </si>
  <si>
    <t>WELDING FOOT (ITA 10/12)</t>
  </si>
  <si>
    <t>D001260</t>
  </si>
  <si>
    <t>CUTTER (ITA 10/12)</t>
  </si>
  <si>
    <t>D001420</t>
  </si>
  <si>
    <t>SPECIAL M3 SCREW</t>
  </si>
  <si>
    <t>D001600</t>
  </si>
  <si>
    <t>PISTON (ITA 12)</t>
  </si>
  <si>
    <t>D001630</t>
  </si>
  <si>
    <t>CONNECTING ROD (ITA 10/12)</t>
  </si>
  <si>
    <t>D001650</t>
  </si>
  <si>
    <t>WELDING FOOT PIN .</t>
  </si>
  <si>
    <t>D001670</t>
  </si>
  <si>
    <t>OPENING LEVER</t>
  </si>
  <si>
    <t>D001680</t>
  </si>
  <si>
    <t>D001710</t>
  </si>
  <si>
    <t>PISTON SPRING (ITA 10/12)</t>
  </si>
  <si>
    <t>D001720</t>
  </si>
  <si>
    <t>STRONG CUTTER SPRING (ITA 12)</t>
  </si>
  <si>
    <t>D001740</t>
  </si>
  <si>
    <t>CROWN</t>
  </si>
  <si>
    <t>D001770</t>
  </si>
  <si>
    <t>SHAFT</t>
  </si>
  <si>
    <t>D001780</t>
  </si>
  <si>
    <t>SPECIAL NUT</t>
  </si>
  <si>
    <t>D001790</t>
  </si>
  <si>
    <t>FEEDWHEEL</t>
  </si>
  <si>
    <t>D001820</t>
  </si>
  <si>
    <t>SIDE GUIDE STRAP 19MM</t>
  </si>
  <si>
    <t>D001940</t>
  </si>
  <si>
    <t>SIDE GUIDESTRAP 10MM</t>
  </si>
  <si>
    <t>D001960</t>
  </si>
  <si>
    <t>REAR FRICTION PLATE (ITA 10/12)</t>
  </si>
  <si>
    <t>D001970</t>
  </si>
  <si>
    <t>FRUCTION PLATE (ITA 10/12)</t>
  </si>
  <si>
    <t>D001980</t>
  </si>
  <si>
    <t>FEEDWHEEL (ITA 10/12)</t>
  </si>
  <si>
    <t>D001990</t>
  </si>
  <si>
    <t>FRONT FRICTION PLATE (ITA 10/12)</t>
  </si>
  <si>
    <t>D002010</t>
  </si>
  <si>
    <t>WELDING FOOT</t>
  </si>
  <si>
    <t>D002020</t>
  </si>
  <si>
    <t>D002050</t>
  </si>
  <si>
    <t>D002060</t>
  </si>
  <si>
    <t>SUPPORT</t>
  </si>
  <si>
    <t>D002080</t>
  </si>
  <si>
    <t>SPRING SUPPORT</t>
  </si>
  <si>
    <t>D002120</t>
  </si>
  <si>
    <t>CUTTER</t>
  </si>
  <si>
    <t>D002130</t>
  </si>
  <si>
    <t>CUTTER GUIDE</t>
  </si>
  <si>
    <t>D002140</t>
  </si>
  <si>
    <t>COVER</t>
  </si>
  <si>
    <t>D002150</t>
  </si>
  <si>
    <t>SUPPORT FEEDWHEEL</t>
  </si>
  <si>
    <t>D002170</t>
  </si>
  <si>
    <t>D002190</t>
  </si>
  <si>
    <t>HOOK</t>
  </si>
  <si>
    <t>D002200</t>
  </si>
  <si>
    <t>D002220</t>
  </si>
  <si>
    <t>WELDING MOTOR FLANGE</t>
  </si>
  <si>
    <t>D002230</t>
  </si>
  <si>
    <t>WELDING CAM</t>
  </si>
  <si>
    <t>D002240</t>
  </si>
  <si>
    <t>SPRING SHAFT</t>
  </si>
  <si>
    <t>D002250</t>
  </si>
  <si>
    <t>D002260</t>
  </si>
  <si>
    <t>SUPPORT PIN</t>
  </si>
  <si>
    <t>D002280</t>
  </si>
  <si>
    <t>CAM PIN</t>
  </si>
  <si>
    <t>D002300</t>
  </si>
  <si>
    <t>WELDING GROUP SPRING</t>
  </si>
  <si>
    <t>D002310</t>
  </si>
  <si>
    <t>CUTTER SPRING</t>
  </si>
  <si>
    <t>D002330</t>
  </si>
  <si>
    <t>TENSION FEEDWHEEL</t>
  </si>
  <si>
    <t>D002350</t>
  </si>
  <si>
    <t>D002990</t>
  </si>
  <si>
    <t>D003100</t>
  </si>
  <si>
    <t>LEVER PA6FV V1 RAL</t>
  </si>
  <si>
    <t>D003110</t>
  </si>
  <si>
    <t>CUTTER SPRING (ITA 40)</t>
  </si>
  <si>
    <t>D003120</t>
  </si>
  <si>
    <t>SPRING (ITA 40)</t>
  </si>
  <si>
    <t>D003360</t>
  </si>
  <si>
    <t>RIGHT COVER</t>
  </si>
  <si>
    <t>D003370</t>
  </si>
  <si>
    <t>LEFT COVER</t>
  </si>
  <si>
    <t>D003380</t>
  </si>
  <si>
    <t>KEYBOARD SUPPORT</t>
  </si>
  <si>
    <t>D003390</t>
  </si>
  <si>
    <t>TENSION BUTTON</t>
  </si>
  <si>
    <t>D003450</t>
  </si>
  <si>
    <t>FEEDWHEEL GAP ADJUSTER (ITA 40)</t>
  </si>
  <si>
    <t>D003480</t>
  </si>
  <si>
    <t>ANVIL 19mm 3/4" (ITA 40)</t>
  </si>
  <si>
    <t>D003490</t>
  </si>
  <si>
    <t>ANVIL 16mm 5/8" (ITA 40)</t>
  </si>
  <si>
    <t>D003500</t>
  </si>
  <si>
    <t>ANVIL 13mm 1/2" (ITA 40)</t>
  </si>
  <si>
    <t>D003510</t>
  </si>
  <si>
    <t>LINKER (ITA 40)</t>
  </si>
  <si>
    <t>D003520</t>
  </si>
  <si>
    <t>JAW (ITA 40)</t>
  </si>
  <si>
    <t>D003540</t>
  </si>
  <si>
    <t>FRONT PLATE 13mm 1/2" (ITA 40)</t>
  </si>
  <si>
    <t>D003550</t>
  </si>
  <si>
    <t>FRONT PLATE 16mm 5/8" (ITA 40)</t>
  </si>
  <si>
    <t>D003560</t>
  </si>
  <si>
    <t>FRONT PLATE 19mm 3/4" (ITA 40)</t>
  </si>
  <si>
    <t>D003570</t>
  </si>
  <si>
    <t>REAR PLATE 13mm 1/2" (ITA 40)</t>
  </si>
  <si>
    <t>D003580</t>
  </si>
  <si>
    <t>REAR PLATE 16mm 5/8" (ITA 40)</t>
  </si>
  <si>
    <t>D003590</t>
  </si>
  <si>
    <t>REAR PLATE 19mm 3/4" (ITA 40)</t>
  </si>
  <si>
    <t>D003640</t>
  </si>
  <si>
    <t>FEEDWHEEL (ITA 40)</t>
  </si>
  <si>
    <t>D003770</t>
  </si>
  <si>
    <t>COVER GASKET (ITA 40)</t>
  </si>
  <si>
    <t>D004270</t>
  </si>
  <si>
    <t>TENSION BUTTON SPRING</t>
  </si>
  <si>
    <t>D004540</t>
  </si>
  <si>
    <t>D004560</t>
  </si>
  <si>
    <t>SPECIAL SCREW SPRING HOLDER</t>
  </si>
  <si>
    <t>D004570</t>
  </si>
  <si>
    <t>WELDING FOOT ITA11-12</t>
  </si>
  <si>
    <t>D004580</t>
  </si>
  <si>
    <t>WELDING PLATE (ITA 20)</t>
  </si>
  <si>
    <t>D004600</t>
  </si>
  <si>
    <t>WELDING PLATE</t>
  </si>
  <si>
    <t>D004610</t>
  </si>
  <si>
    <t>D004620</t>
  </si>
  <si>
    <t>D004630</t>
  </si>
  <si>
    <t>HT FRONT GUIDESTRAP</t>
  </si>
  <si>
    <t>D004640</t>
  </si>
  <si>
    <t>D004660</t>
  </si>
  <si>
    <t>REAR GUIDESTRAP PIN HT</t>
  </si>
  <si>
    <t>D004670</t>
  </si>
  <si>
    <t>WELDING MOTOR SUPPORT</t>
  </si>
  <si>
    <t>D004710</t>
  </si>
  <si>
    <t>LEVER HT-PA6FV V1</t>
  </si>
  <si>
    <t>D004720</t>
  </si>
  <si>
    <t>HT TENSION BUTTON</t>
  </si>
  <si>
    <t>D004730</t>
  </si>
  <si>
    <t>HT KEYBOARD SUPPORT</t>
  </si>
  <si>
    <t>D004740</t>
  </si>
  <si>
    <t>HT COVER</t>
  </si>
  <si>
    <t>D005260</t>
  </si>
  <si>
    <t>WELDING LEVER</t>
  </si>
  <si>
    <t>D005270</t>
  </si>
  <si>
    <t>LINKER</t>
  </si>
  <si>
    <t>D005280</t>
  </si>
  <si>
    <t>PISTON</t>
  </si>
  <si>
    <t>D005700</t>
  </si>
  <si>
    <t>LOCKING STRAP PLATE (ITA 11)</t>
  </si>
  <si>
    <t>D005860</t>
  </si>
  <si>
    <t>D005870</t>
  </si>
  <si>
    <t>D006030</t>
  </si>
  <si>
    <t>SPRING</t>
  </si>
  <si>
    <t>D006050</t>
  </si>
  <si>
    <t>TENSION FEEDWHEEL ITA25 .</t>
  </si>
  <si>
    <t>D006060</t>
  </si>
  <si>
    <t>WELDING FRAME</t>
  </si>
  <si>
    <t>D006110</t>
  </si>
  <si>
    <t>TENSION FEEDWHEEL ITA24</t>
  </si>
  <si>
    <t>D006120</t>
  </si>
  <si>
    <t>WEAR PLATE</t>
  </si>
  <si>
    <t>D006130</t>
  </si>
  <si>
    <t>WELDING MOTOR FLANGE .</t>
  </si>
  <si>
    <t>D006140</t>
  </si>
  <si>
    <t>SUPPORT PIN .</t>
  </si>
  <si>
    <t>D006180</t>
  </si>
  <si>
    <t>SIDE GUIDESTRAP 16mm 5/8</t>
  </si>
  <si>
    <t>D006190</t>
  </si>
  <si>
    <t>SIDE GUIDESTRAP 19mm 3/4</t>
  </si>
  <si>
    <t>D006270</t>
  </si>
  <si>
    <t>PIN</t>
  </si>
  <si>
    <t>D006280</t>
  </si>
  <si>
    <t>REAR GUIDESTRAP PIN</t>
  </si>
  <si>
    <t>D006300</t>
  </si>
  <si>
    <t>MAIN FRAME</t>
  </si>
  <si>
    <t>D006350</t>
  </si>
  <si>
    <t>D006400</t>
  </si>
  <si>
    <t xml:space="preserve">WELDING FOOT SUPPORT </t>
  </si>
  <si>
    <t>D006420</t>
  </si>
  <si>
    <t>UPPER COVER ORANGE</t>
  </si>
  <si>
    <t>D006430</t>
  </si>
  <si>
    <t>BOTTOM PLASTIC TOOL COVER</t>
  </si>
  <si>
    <t>D006440</t>
  </si>
  <si>
    <t>FALTA 0</t>
  </si>
  <si>
    <t>D006450</t>
  </si>
  <si>
    <t>HANDLE</t>
  </si>
  <si>
    <t>D006460</t>
  </si>
  <si>
    <t>D006510</t>
  </si>
  <si>
    <t>GUIDESTRAP PIN</t>
  </si>
  <si>
    <t>D006570</t>
  </si>
  <si>
    <t>D007030</t>
  </si>
  <si>
    <t>SPECIAL SCREW</t>
  </si>
  <si>
    <t>B6001-2Z</t>
  </si>
  <si>
    <t>BUSHING 6001 2Z</t>
  </si>
  <si>
    <t>SP00903</t>
  </si>
  <si>
    <t xml:space="preserve">CUTTING SET </t>
  </si>
  <si>
    <t>SP00321</t>
  </si>
  <si>
    <t>FMS, M5X8 (SUS)</t>
  </si>
  <si>
    <t>SP00018</t>
  </si>
  <si>
    <t>LEVER COMPLETE RED</t>
  </si>
  <si>
    <t>SP00023</t>
  </si>
  <si>
    <t>NOSE HOOK</t>
  </si>
  <si>
    <t>SP00048</t>
  </si>
  <si>
    <t>KNIFE COMPLETE CT-25</t>
  </si>
  <si>
    <t>SP00327</t>
  </si>
  <si>
    <t>CLAMP PLATE CTT-40</t>
  </si>
  <si>
    <t>SP00329</t>
  </si>
  <si>
    <t>SPRING FOR CLAMP</t>
  </si>
  <si>
    <t>SP00351</t>
  </si>
  <si>
    <t>KNIFE COMPLETE CT-40</t>
  </si>
  <si>
    <t>S55</t>
  </si>
  <si>
    <t>SEGUER 55</t>
  </si>
  <si>
    <t>GCT25</t>
  </si>
  <si>
    <t>GANCHOS CT25</t>
  </si>
  <si>
    <t>GCTT40</t>
  </si>
  <si>
    <t>GANCHOS CTT40</t>
  </si>
  <si>
    <t>FALTA</t>
  </si>
  <si>
    <t>1 pedido por Daniela 15/10/2025</t>
  </si>
  <si>
    <t>2 FUERON PEDIDOS POR DANIELA 15/10/2025</t>
  </si>
  <si>
    <t>Tipo Maquina</t>
  </si>
  <si>
    <t>Bateria</t>
  </si>
  <si>
    <t>Manual</t>
  </si>
  <si>
    <t>Estante</t>
  </si>
  <si>
    <t>Fila</t>
  </si>
  <si>
    <t>Posición</t>
  </si>
  <si>
    <t>Box</t>
  </si>
  <si>
    <t xml:space="preserve">5 </t>
  </si>
  <si>
    <t>2</t>
  </si>
  <si>
    <t xml:space="preserve">4 </t>
  </si>
  <si>
    <t/>
  </si>
  <si>
    <t>1</t>
  </si>
  <si>
    <t xml:space="preserve">1 </t>
  </si>
  <si>
    <t xml:space="preserve">B </t>
  </si>
  <si>
    <t xml:space="preserve">2 </t>
  </si>
  <si>
    <t xml:space="preserve">A </t>
  </si>
  <si>
    <t xml:space="preserve">6 </t>
  </si>
  <si>
    <t>4</t>
  </si>
  <si>
    <t xml:space="preserve">3 </t>
  </si>
  <si>
    <t xml:space="preserve">8 </t>
  </si>
  <si>
    <t>3</t>
  </si>
  <si>
    <t xml:space="preserve">7 </t>
  </si>
  <si>
    <t xml:space="preserve"> -</t>
  </si>
  <si>
    <t>3 PEDIDOS POR DANIELA EL 21/10/2025</t>
  </si>
  <si>
    <t>1 PEDIDO POR DANIELA EL 26/11/2025</t>
  </si>
  <si>
    <t>1 pedido por Daniela 2/5/2025</t>
  </si>
  <si>
    <t>1 PEDIDO POR DANIELA 21/10/2025</t>
  </si>
  <si>
    <t>3 PEDIDOS POR DANIELA EL 21/10/2025 - 3 pedido por Daniela 2/5/2025</t>
  </si>
  <si>
    <t>X SE USO 1 PARA JL - 2 pedido por Daniela 2/5/2025</t>
  </si>
  <si>
    <t>pedida por Daniela 2/5/2025</t>
  </si>
  <si>
    <t>Stock de Servicio Técnico al 11/12/2025</t>
  </si>
  <si>
    <t>D006340</t>
  </si>
  <si>
    <t>D006210</t>
  </si>
  <si>
    <t>CAM</t>
  </si>
  <si>
    <t>D005920</t>
  </si>
  <si>
    <t>B600227</t>
  </si>
  <si>
    <t>CUP WASHE CB 12,5x6  2x0,7</t>
  </si>
  <si>
    <t>D006390</t>
  </si>
  <si>
    <t>Neumática</t>
  </si>
  <si>
    <t>AZ10.193.0</t>
  </si>
  <si>
    <t>SPRING AZ10193.0</t>
  </si>
  <si>
    <t>AZ11.028.0</t>
  </si>
  <si>
    <t>GASKET DE08</t>
  </si>
  <si>
    <t>AZ20.001.0</t>
  </si>
  <si>
    <t>SHAFT PART AZ20.001.0</t>
  </si>
  <si>
    <t>SP00381</t>
  </si>
  <si>
    <t>BOLT M4X8 CTT-20</t>
  </si>
  <si>
    <t>SP00386</t>
  </si>
  <si>
    <t>RATCHET WHEEL CTT-20</t>
  </si>
  <si>
    <t>SP00382</t>
  </si>
  <si>
    <t>SP00372</t>
  </si>
  <si>
    <t>MAIN SPRING CTT-20/25</t>
  </si>
  <si>
    <t>SP00379</t>
  </si>
  <si>
    <t>BLADE LEVER CTT-20/25</t>
  </si>
  <si>
    <t>BOLT M4X6 CTT-20/25</t>
  </si>
  <si>
    <t>SP00387</t>
  </si>
  <si>
    <t>STOP RING S-20</t>
  </si>
  <si>
    <t>SP00388</t>
  </si>
  <si>
    <t>NOSE HOOK CTT-20/25</t>
  </si>
  <si>
    <t>SP00376</t>
  </si>
  <si>
    <t>TOGGLE CTT-20</t>
  </si>
  <si>
    <t>}</t>
  </si>
  <si>
    <t>QUEDA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</si>
</sst>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4"/>
      <color theme="3" tint="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A2D2B1"/>
      </right>
      <top style="thin">
        <color indexed="64"/>
      </top>
      <bottom/>
      <diagonal/>
    </border>
    <border>
      <left/>
      <right/>
      <top style="medium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4" tint="0.399975585192419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0">
    <xf numFmtId="0" fontId="0" fillId="0" borderId="0" xfId="0"/>
    <xf numFmtId="0" fontId="2" fillId="0" borderId="0" xfId="0" applyFont="1"/>
    <xf numFmtId="0" fontId="1" fillId="0" borderId="1" xfId="1"/>
    <xf numFmtId="0" fontId="3" fillId="0" borderId="0" xfId="0" applyFont="1"/>
    <xf numFmtId="0" fontId="7" fillId="0" borderId="0" xfId="0" applyFont="1"/>
    <xf numFmtId="0" fontId="6" fillId="0" borderId="0" xfId="0" applyFont="1"/>
    <xf numFmtId="0" fontId="9" fillId="0" borderId="1" xfId="1" applyFont="1"/>
    <xf numFmtId="0" fontId="10" fillId="3" borderId="0" xfId="0" applyFont="1" applyFill="1"/>
    <xf numFmtId="0" fontId="0" fillId="0" borderId="0" xfId="0" applyAlignment="1">
      <alignment horizontal="right"/>
    </xf>
    <xf numFmtId="0" fontId="1" fillId="0" borderId="1" xfId="1" applyAlignment="1">
      <alignment horizontal="right"/>
    </xf>
    <xf numFmtId="0" fontId="8" fillId="0" borderId="0" xfId="0" applyFont="1"/>
    <xf numFmtId="0" fontId="0" fillId="0" borderId="3" xfId="0" applyBorder="1"/>
    <xf numFmtId="0" fontId="0" fillId="0" borderId="5" xfId="0" applyBorder="1"/>
    <xf numFmtId="0" fontId="2" fillId="0" borderId="3" xfId="0" applyFont="1" applyBorder="1"/>
    <xf numFmtId="0" fontId="2" fillId="0" borderId="4" xfId="0" applyFont="1" applyBorder="1"/>
    <xf numFmtId="0" fontId="1" fillId="0" borderId="0" xfId="1" applyBorder="1" applyAlignment="1">
      <alignment horizontal="right"/>
    </xf>
    <xf numFmtId="0" fontId="0" fillId="0" borderId="0" xfId="0" applyAlignment="1">
      <alignment wrapText="1"/>
    </xf>
    <xf numFmtId="0" fontId="5" fillId="4" borderId="11" xfId="0" applyFont="1" applyFill="1" applyBorder="1" applyAlignment="1">
      <alignment horizontal="centerContinuous" wrapText="1"/>
    </xf>
    <xf numFmtId="0" fontId="5" fillId="4" borderId="7" xfId="0" applyFont="1" applyFill="1" applyBorder="1" applyAlignment="1">
      <alignment horizontal="centerContinuous" wrapText="1"/>
    </xf>
    <xf numFmtId="0" fontId="5" fillId="4" borderId="8" xfId="0" applyFont="1" applyFill="1" applyBorder="1" applyAlignment="1">
      <alignment horizontal="centerContinuous" wrapText="1"/>
    </xf>
    <xf numFmtId="0" fontId="5" fillId="4" borderId="9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5" fillId="4" borderId="10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1" fillId="0" borderId="3" xfId="0" applyFont="1" applyBorder="1"/>
    <xf numFmtId="0" fontId="2" fillId="0" borderId="4" xfId="0" applyFont="1" applyBorder="1" applyAlignment="1">
      <alignment horizontal="right"/>
    </xf>
    <xf numFmtId="0" fontId="2" fillId="0" borderId="2" xfId="0" applyFont="1" applyBorder="1"/>
    <xf numFmtId="0" fontId="11" fillId="0" borderId="0" xfId="0" applyFont="1" applyBorder="1"/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5" fillId="4" borderId="12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5" fillId="4" borderId="14" xfId="0" applyFont="1" applyFill="1" applyBorder="1" applyAlignment="1">
      <alignment horizontal="center" wrapText="1"/>
    </xf>
    <xf numFmtId="0" fontId="5" fillId="4" borderId="15" xfId="0" applyFont="1" applyFill="1" applyBorder="1" applyAlignment="1">
      <alignment horizontal="center" wrapText="1"/>
    </xf>
    <xf numFmtId="0" fontId="5" fillId="4" borderId="16" xfId="0" applyFont="1" applyFill="1" applyBorder="1" applyAlignment="1">
      <alignment horizontal="center" wrapText="1"/>
    </xf>
    <xf numFmtId="0" fontId="5" fillId="4" borderId="17" xfId="0" applyFont="1" applyFill="1" applyBorder="1" applyAlignment="1">
      <alignment horizontal="center" wrapText="1"/>
    </xf>
    <xf numFmtId="0" fontId="2" fillId="2" borderId="3" xfId="0" applyFont="1" applyFill="1" applyBorder="1"/>
    <xf numFmtId="0" fontId="2" fillId="2" borderId="4" xfId="0" applyFont="1" applyFill="1" applyBorder="1"/>
    <xf numFmtId="0" fontId="0" fillId="3" borderId="0" xfId="0" applyFill="1"/>
    <xf numFmtId="0" fontId="2" fillId="2" borderId="0" xfId="0" applyFont="1" applyFill="1" applyBorder="1"/>
    <xf numFmtId="0" fontId="0" fillId="5" borderId="0" xfId="0" applyFill="1"/>
  </cellXfs>
  <cellStyles count="2">
    <cellStyle name="Normal" xfId="0" builtinId="0"/>
    <cellStyle name="Título 3" xfId="1" builtinId="18"/>
  </cellStyles>
  <dxfs count="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00"/>
      <color rgb="FFA2D2B1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21EC-DF2E-42C5-8E29-C3033173338A}">
  <dimension ref="A3:K259"/>
  <sheetViews>
    <sheetView showGridLines="0" tabSelected="1" topLeftCell="A229" workbookViewId="0">
      <selection activeCell="C239" sqref="C239"/>
    </sheetView>
  </sheetViews>
  <sheetFormatPr baseColWidth="10" defaultRowHeight="15" x14ac:dyDescent="0.25"/>
  <cols>
    <col min="1" max="1" width="4" bestFit="1" customWidth="1"/>
    <col min="2" max="2" width="10.7109375" customWidth="1"/>
    <col min="3" max="3" width="17.28515625" customWidth="1"/>
    <col min="4" max="4" width="44.42578125" customWidth="1"/>
    <col min="5" max="5" width="10.42578125" customWidth="1"/>
    <col min="6" max="6" width="13.140625" customWidth="1"/>
    <col min="7" max="7" width="9.5703125" customWidth="1"/>
    <col min="8" max="8" width="10.85546875" customWidth="1"/>
    <col min="9" max="9" width="10.42578125" customWidth="1"/>
    <col min="10" max="10" width="21.42578125" customWidth="1"/>
    <col min="11" max="11" width="77.7109375" customWidth="1"/>
  </cols>
  <sheetData>
    <row r="3" spans="1:11" ht="31.5" x14ac:dyDescent="0.5">
      <c r="C3" s="7" t="s">
        <v>0</v>
      </c>
      <c r="D3" s="4" t="s">
        <v>1</v>
      </c>
      <c r="E3" s="8"/>
      <c r="F3" s="8"/>
      <c r="G3" s="8"/>
      <c r="H3" s="47" t="s">
        <v>464</v>
      </c>
      <c r="I3" s="8"/>
      <c r="J3" s="3"/>
    </row>
    <row r="4" spans="1:11" ht="26.25" x14ac:dyDescent="0.4">
      <c r="C4" s="5" t="s">
        <v>2</v>
      </c>
      <c r="D4" s="10" t="s">
        <v>497</v>
      </c>
      <c r="E4" s="10"/>
      <c r="F4" s="10"/>
      <c r="G4" s="10"/>
      <c r="H4" s="49" t="s">
        <v>529</v>
      </c>
      <c r="I4" s="10"/>
      <c r="J4" s="10"/>
    </row>
    <row r="5" spans="1:11" x14ac:dyDescent="0.25">
      <c r="C5" s="1"/>
      <c r="D5" s="1"/>
      <c r="E5" s="8"/>
      <c r="F5" s="8"/>
      <c r="G5" s="8"/>
      <c r="H5" s="8"/>
      <c r="I5" s="8"/>
      <c r="J5" s="3"/>
    </row>
    <row r="6" spans="1:11" ht="27" thickBot="1" x14ac:dyDescent="0.45">
      <c r="C6" s="6" t="s">
        <v>3</v>
      </c>
      <c r="D6" s="2"/>
      <c r="E6" s="9"/>
      <c r="F6" s="15"/>
      <c r="G6" s="15"/>
      <c r="H6" s="15"/>
      <c r="I6" s="15"/>
      <c r="J6" s="2"/>
      <c r="K6" s="2"/>
    </row>
    <row r="7" spans="1:11" s="16" customFormat="1" ht="15.75" x14ac:dyDescent="0.25">
      <c r="D7" s="39" t="s">
        <v>5</v>
      </c>
      <c r="E7" s="41" t="s">
        <v>6</v>
      </c>
      <c r="F7" s="17" t="s">
        <v>7</v>
      </c>
      <c r="G7" s="18"/>
      <c r="H7" s="18"/>
      <c r="I7" s="19"/>
      <c r="J7" s="43" t="s">
        <v>8</v>
      </c>
      <c r="K7" s="39" t="s">
        <v>9</v>
      </c>
    </row>
    <row r="8" spans="1:11" s="23" customFormat="1" ht="31.5" x14ac:dyDescent="0.25">
      <c r="B8" s="24" t="s">
        <v>467</v>
      </c>
      <c r="C8" s="24" t="s">
        <v>4</v>
      </c>
      <c r="D8" s="40"/>
      <c r="E8" s="42"/>
      <c r="F8" s="20" t="s">
        <v>470</v>
      </c>
      <c r="G8" s="21" t="s">
        <v>471</v>
      </c>
      <c r="H8" s="21" t="s">
        <v>472</v>
      </c>
      <c r="I8" s="22" t="s">
        <v>473</v>
      </c>
      <c r="J8" s="44"/>
      <c r="K8" s="40"/>
    </row>
    <row r="9" spans="1:11" x14ac:dyDescent="0.25">
      <c r="A9">
        <v>1</v>
      </c>
      <c r="B9" s="31" t="s">
        <v>468</v>
      </c>
      <c r="C9" s="13" t="s">
        <v>10</v>
      </c>
      <c r="D9" s="14" t="s">
        <v>11</v>
      </c>
      <c r="E9" s="14">
        <v>9</v>
      </c>
      <c r="F9" s="25">
        <v>5</v>
      </c>
      <c r="G9" s="26">
        <v>5</v>
      </c>
      <c r="H9" s="26"/>
      <c r="I9" s="27">
        <v>2</v>
      </c>
      <c r="J9" s="33" t="str">
        <f>IF(F9="","",+"E0"&amp;F9)&amp;IF(G9="","",+"-F0"&amp;G9)&amp;IF(H9="","",+"-P"&amp;H9)&amp;IF(I9="","",+"-B0"&amp;I9)</f>
        <v>E05-F05-B02</v>
      </c>
      <c r="K9" s="12" t="s">
        <v>12</v>
      </c>
    </row>
    <row r="10" spans="1:11" x14ac:dyDescent="0.25">
      <c r="A10">
        <f>+A9+1</f>
        <v>2</v>
      </c>
      <c r="B10" s="31" t="s">
        <v>468</v>
      </c>
      <c r="C10" s="13" t="s">
        <v>13</v>
      </c>
      <c r="D10" s="14" t="s">
        <v>14</v>
      </c>
      <c r="E10" s="14">
        <v>14</v>
      </c>
      <c r="F10" s="25" t="s">
        <v>474</v>
      </c>
      <c r="G10" s="26" t="s">
        <v>476</v>
      </c>
      <c r="H10" s="26"/>
      <c r="I10" s="27" t="s">
        <v>477</v>
      </c>
      <c r="J10" s="33" t="str">
        <f t="shared" ref="J10:J73" si="0">IF(F10="","",+"E0"&amp;F10)&amp;IF(G10="","",+"-F0"&amp;G10)&amp;IF(H10="","",+"-P"&amp;H10)&amp;IF(I10="","",+"-B0"&amp;I10)</f>
        <v xml:space="preserve">E05 -F04 </v>
      </c>
      <c r="K10" s="12" t="s">
        <v>12</v>
      </c>
    </row>
    <row r="11" spans="1:11" x14ac:dyDescent="0.25">
      <c r="A11">
        <f t="shared" ref="A11:A74" si="1">+A10+1</f>
        <v>3</v>
      </c>
      <c r="B11" s="31" t="s">
        <v>468</v>
      </c>
      <c r="C11" s="13" t="s">
        <v>15</v>
      </c>
      <c r="D11" s="14" t="s">
        <v>16</v>
      </c>
      <c r="E11" s="14">
        <v>2</v>
      </c>
      <c r="F11" s="25" t="s">
        <v>474</v>
      </c>
      <c r="G11" s="26" t="s">
        <v>474</v>
      </c>
      <c r="H11" s="26"/>
      <c r="I11" s="27" t="s">
        <v>478</v>
      </c>
      <c r="J11" s="33" t="str">
        <f t="shared" si="0"/>
        <v>E05 -F05 -B01</v>
      </c>
      <c r="K11" s="12" t="s">
        <v>12</v>
      </c>
    </row>
    <row r="12" spans="1:11" x14ac:dyDescent="0.25">
      <c r="A12">
        <f t="shared" si="1"/>
        <v>4</v>
      </c>
      <c r="B12" s="31" t="s">
        <v>468</v>
      </c>
      <c r="C12" s="13" t="s">
        <v>17</v>
      </c>
      <c r="D12" s="14" t="s">
        <v>18</v>
      </c>
      <c r="E12" s="14">
        <v>3</v>
      </c>
      <c r="F12" s="25" t="s">
        <v>479</v>
      </c>
      <c r="G12" s="26" t="s">
        <v>476</v>
      </c>
      <c r="H12" s="26" t="s">
        <v>480</v>
      </c>
      <c r="I12" s="27" t="s">
        <v>475</v>
      </c>
      <c r="J12" s="33" t="str">
        <f t="shared" si="0"/>
        <v>E01 -F04 -PB -B02</v>
      </c>
      <c r="K12" s="12" t="s">
        <v>12</v>
      </c>
    </row>
    <row r="13" spans="1:11" x14ac:dyDescent="0.25">
      <c r="A13">
        <f t="shared" si="1"/>
        <v>5</v>
      </c>
      <c r="B13" s="31" t="s">
        <v>468</v>
      </c>
      <c r="C13" s="13" t="s">
        <v>19</v>
      </c>
      <c r="D13" s="14" t="s">
        <v>20</v>
      </c>
      <c r="E13" s="14">
        <v>3</v>
      </c>
      <c r="F13" s="25" t="s">
        <v>481</v>
      </c>
      <c r="G13" s="26" t="s">
        <v>476</v>
      </c>
      <c r="H13" s="26" t="s">
        <v>482</v>
      </c>
      <c r="I13" s="27" t="s">
        <v>478</v>
      </c>
      <c r="J13" s="33" t="str">
        <f t="shared" si="0"/>
        <v>E02 -F04 -PA -B01</v>
      </c>
      <c r="K13" s="12" t="s">
        <v>21</v>
      </c>
    </row>
    <row r="14" spans="1:11" x14ac:dyDescent="0.25">
      <c r="A14">
        <f t="shared" si="1"/>
        <v>6</v>
      </c>
      <c r="B14" s="31" t="s">
        <v>468</v>
      </c>
      <c r="C14" s="13" t="s">
        <v>22</v>
      </c>
      <c r="D14" s="14" t="s">
        <v>23</v>
      </c>
      <c r="E14" s="14">
        <v>2</v>
      </c>
      <c r="F14" s="25" t="s">
        <v>483</v>
      </c>
      <c r="G14" s="26" t="s">
        <v>479</v>
      </c>
      <c r="H14" s="26"/>
      <c r="I14" s="27" t="s">
        <v>478</v>
      </c>
      <c r="J14" s="33" t="str">
        <f t="shared" si="0"/>
        <v>E06 -F01 -B01</v>
      </c>
      <c r="K14" s="12"/>
    </row>
    <row r="15" spans="1:11" x14ac:dyDescent="0.25">
      <c r="A15">
        <f t="shared" si="1"/>
        <v>7</v>
      </c>
      <c r="B15" s="31" t="s">
        <v>468</v>
      </c>
      <c r="C15" s="13" t="s">
        <v>24</v>
      </c>
      <c r="D15" s="14" t="s">
        <v>25</v>
      </c>
      <c r="E15" s="32">
        <v>0</v>
      </c>
      <c r="F15" s="25" t="s">
        <v>476</v>
      </c>
      <c r="G15" s="26" t="s">
        <v>479</v>
      </c>
      <c r="H15" s="26"/>
      <c r="I15" s="27" t="s">
        <v>484</v>
      </c>
      <c r="J15" s="33" t="str">
        <f t="shared" si="0"/>
        <v>E04 -F01 -B04</v>
      </c>
      <c r="K15" s="12" t="s">
        <v>466</v>
      </c>
    </row>
    <row r="16" spans="1:11" x14ac:dyDescent="0.25">
      <c r="A16">
        <f t="shared" si="1"/>
        <v>8</v>
      </c>
      <c r="B16" s="31" t="s">
        <v>468</v>
      </c>
      <c r="C16" s="13" t="s">
        <v>26</v>
      </c>
      <c r="D16" s="14" t="s">
        <v>27</v>
      </c>
      <c r="E16" s="14">
        <v>7</v>
      </c>
      <c r="F16" s="25" t="s">
        <v>476</v>
      </c>
      <c r="G16" s="26" t="s">
        <v>483</v>
      </c>
      <c r="H16" s="26"/>
      <c r="I16" s="27" t="s">
        <v>475</v>
      </c>
      <c r="J16" s="33" t="str">
        <f t="shared" si="0"/>
        <v>E04 -F06 -B02</v>
      </c>
      <c r="K16" s="12"/>
    </row>
    <row r="17" spans="1:11" x14ac:dyDescent="0.25">
      <c r="A17">
        <f>+A16+1</f>
        <v>9</v>
      </c>
      <c r="B17" s="31" t="s">
        <v>468</v>
      </c>
      <c r="C17" s="13" t="s">
        <v>28</v>
      </c>
      <c r="D17" s="14" t="s">
        <v>29</v>
      </c>
      <c r="E17" s="14">
        <v>4</v>
      </c>
      <c r="F17" s="25" t="s">
        <v>485</v>
      </c>
      <c r="G17" s="26" t="s">
        <v>474</v>
      </c>
      <c r="H17" s="26" t="s">
        <v>482</v>
      </c>
      <c r="I17" s="27" t="s">
        <v>484</v>
      </c>
      <c r="J17" s="33" t="str">
        <f t="shared" si="0"/>
        <v>E03 -F05 -PA -B04</v>
      </c>
      <c r="K17" s="12"/>
    </row>
    <row r="18" spans="1:11" x14ac:dyDescent="0.25">
      <c r="A18">
        <f t="shared" si="1"/>
        <v>10</v>
      </c>
      <c r="B18" s="31" t="s">
        <v>468</v>
      </c>
      <c r="C18" s="13" t="s">
        <v>30</v>
      </c>
      <c r="D18" s="14" t="s">
        <v>31</v>
      </c>
      <c r="E18" s="14">
        <v>13</v>
      </c>
      <c r="F18" s="25" t="s">
        <v>474</v>
      </c>
      <c r="G18" s="26" t="s">
        <v>479</v>
      </c>
      <c r="H18" s="26"/>
      <c r="I18" s="27" t="s">
        <v>478</v>
      </c>
      <c r="J18" s="33" t="str">
        <f t="shared" si="0"/>
        <v>E05 -F01 -B01</v>
      </c>
      <c r="K18" s="12" t="s">
        <v>32</v>
      </c>
    </row>
    <row r="19" spans="1:11" x14ac:dyDescent="0.25">
      <c r="A19">
        <f t="shared" si="1"/>
        <v>11</v>
      </c>
      <c r="B19" s="31" t="s">
        <v>468</v>
      </c>
      <c r="C19" s="13" t="s">
        <v>33</v>
      </c>
      <c r="D19" s="14" t="s">
        <v>34</v>
      </c>
      <c r="E19" s="14">
        <v>8</v>
      </c>
      <c r="F19" s="25" t="s">
        <v>479</v>
      </c>
      <c r="G19" s="26" t="s">
        <v>486</v>
      </c>
      <c r="H19" s="26" t="s">
        <v>480</v>
      </c>
      <c r="I19" s="27" t="s">
        <v>487</v>
      </c>
      <c r="J19" s="33" t="str">
        <f t="shared" si="0"/>
        <v>E01 -F08 -PB -B03</v>
      </c>
      <c r="K19" s="12" t="s">
        <v>12</v>
      </c>
    </row>
    <row r="20" spans="1:11" x14ac:dyDescent="0.25">
      <c r="A20">
        <f t="shared" si="1"/>
        <v>12</v>
      </c>
      <c r="B20" s="31" t="s">
        <v>468</v>
      </c>
      <c r="C20" s="13" t="s">
        <v>35</v>
      </c>
      <c r="D20" s="14" t="s">
        <v>36</v>
      </c>
      <c r="E20" s="14">
        <v>2</v>
      </c>
      <c r="F20" s="25" t="s">
        <v>488</v>
      </c>
      <c r="G20" s="26" t="s">
        <v>479</v>
      </c>
      <c r="H20" s="26"/>
      <c r="I20" s="27" t="s">
        <v>478</v>
      </c>
      <c r="J20" s="33" t="str">
        <f t="shared" si="0"/>
        <v>E07 -F01 -B01</v>
      </c>
      <c r="K20" s="12"/>
    </row>
    <row r="21" spans="1:11" x14ac:dyDescent="0.25">
      <c r="A21">
        <f t="shared" si="1"/>
        <v>13</v>
      </c>
      <c r="B21" s="31" t="s">
        <v>468</v>
      </c>
      <c r="C21" s="13" t="s">
        <v>37</v>
      </c>
      <c r="D21" s="14" t="s">
        <v>38</v>
      </c>
      <c r="E21" s="14">
        <v>4</v>
      </c>
      <c r="F21" s="25" t="s">
        <v>485</v>
      </c>
      <c r="G21" s="26" t="s">
        <v>476</v>
      </c>
      <c r="H21" s="26" t="s">
        <v>482</v>
      </c>
      <c r="I21" s="27" t="s">
        <v>478</v>
      </c>
      <c r="J21" s="33" t="str">
        <f t="shared" si="0"/>
        <v>E03 -F04 -PA -B01</v>
      </c>
      <c r="K21" s="12"/>
    </row>
    <row r="22" spans="1:11" x14ac:dyDescent="0.25">
      <c r="A22">
        <f t="shared" si="1"/>
        <v>14</v>
      </c>
      <c r="B22" s="31" t="s">
        <v>468</v>
      </c>
      <c r="C22" s="13" t="s">
        <v>39</v>
      </c>
      <c r="D22" s="14" t="s">
        <v>40</v>
      </c>
      <c r="E22" s="14">
        <v>4</v>
      </c>
      <c r="F22" s="25" t="s">
        <v>481</v>
      </c>
      <c r="G22" s="26" t="s">
        <v>481</v>
      </c>
      <c r="H22" s="26" t="s">
        <v>482</v>
      </c>
      <c r="I22" s="27" t="s">
        <v>487</v>
      </c>
      <c r="J22" s="33" t="str">
        <f t="shared" si="0"/>
        <v>E02 -F02 -PA -B03</v>
      </c>
      <c r="K22" s="12" t="s">
        <v>12</v>
      </c>
    </row>
    <row r="23" spans="1:11" x14ac:dyDescent="0.25">
      <c r="A23">
        <f t="shared" si="1"/>
        <v>15</v>
      </c>
      <c r="B23" s="31" t="s">
        <v>468</v>
      </c>
      <c r="C23" s="13" t="s">
        <v>41</v>
      </c>
      <c r="D23" s="14" t="s">
        <v>42</v>
      </c>
      <c r="E23" s="14">
        <v>1</v>
      </c>
      <c r="F23" s="25" t="s">
        <v>476</v>
      </c>
      <c r="G23" s="26" t="s">
        <v>483</v>
      </c>
      <c r="H23" s="26"/>
      <c r="I23" s="27" t="s">
        <v>487</v>
      </c>
      <c r="J23" s="33" t="str">
        <f t="shared" si="0"/>
        <v>E04 -F06 -B03</v>
      </c>
      <c r="K23" s="12"/>
    </row>
    <row r="24" spans="1:11" x14ac:dyDescent="0.25">
      <c r="A24">
        <f t="shared" si="1"/>
        <v>16</v>
      </c>
      <c r="B24" s="31" t="s">
        <v>468</v>
      </c>
      <c r="C24" s="13" t="s">
        <v>43</v>
      </c>
      <c r="D24" s="14" t="s">
        <v>44</v>
      </c>
      <c r="E24" s="14">
        <v>1</v>
      </c>
      <c r="F24" s="25" t="s">
        <v>483</v>
      </c>
      <c r="G24" s="26" t="s">
        <v>481</v>
      </c>
      <c r="H24" s="26"/>
      <c r="I24" s="27" t="s">
        <v>478</v>
      </c>
      <c r="J24" s="33" t="str">
        <f t="shared" si="0"/>
        <v>E06 -F02 -B01</v>
      </c>
      <c r="K24" s="12"/>
    </row>
    <row r="25" spans="1:11" x14ac:dyDescent="0.25">
      <c r="A25">
        <f t="shared" si="1"/>
        <v>17</v>
      </c>
      <c r="B25" s="31" t="s">
        <v>468</v>
      </c>
      <c r="C25" s="13" t="s">
        <v>45</v>
      </c>
      <c r="D25" s="14" t="s">
        <v>29</v>
      </c>
      <c r="E25" s="14">
        <v>3</v>
      </c>
      <c r="F25" s="25" t="s">
        <v>485</v>
      </c>
      <c r="G25" s="26" t="s">
        <v>474</v>
      </c>
      <c r="H25" s="26" t="s">
        <v>480</v>
      </c>
      <c r="I25" s="27" t="s">
        <v>478</v>
      </c>
      <c r="J25" s="33" t="str">
        <f t="shared" si="0"/>
        <v>E03 -F05 -PB -B01</v>
      </c>
      <c r="K25" s="12"/>
    </row>
    <row r="26" spans="1:11" x14ac:dyDescent="0.25">
      <c r="A26">
        <f t="shared" si="1"/>
        <v>18</v>
      </c>
      <c r="B26" s="31" t="s">
        <v>468</v>
      </c>
      <c r="C26" s="13" t="s">
        <v>46</v>
      </c>
      <c r="D26" s="14" t="s">
        <v>47</v>
      </c>
      <c r="E26" s="14">
        <v>4</v>
      </c>
      <c r="F26" s="25" t="s">
        <v>481</v>
      </c>
      <c r="G26" s="26" t="s">
        <v>481</v>
      </c>
      <c r="H26" s="26" t="s">
        <v>480</v>
      </c>
      <c r="I26" s="27" t="s">
        <v>475</v>
      </c>
      <c r="J26" s="33" t="str">
        <f t="shared" si="0"/>
        <v>E02 -F02 -PB -B02</v>
      </c>
      <c r="K26" s="12" t="s">
        <v>12</v>
      </c>
    </row>
    <row r="27" spans="1:11" x14ac:dyDescent="0.25">
      <c r="A27">
        <f t="shared" si="1"/>
        <v>19</v>
      </c>
      <c r="B27" s="31" t="s">
        <v>468</v>
      </c>
      <c r="C27" s="13" t="s">
        <v>48</v>
      </c>
      <c r="D27" s="14" t="s">
        <v>47</v>
      </c>
      <c r="E27" s="14">
        <v>7</v>
      </c>
      <c r="F27" s="25" t="s">
        <v>485</v>
      </c>
      <c r="G27" s="26" t="s">
        <v>474</v>
      </c>
      <c r="H27" s="26" t="s">
        <v>480</v>
      </c>
      <c r="I27" s="27" t="s">
        <v>475</v>
      </c>
      <c r="J27" s="33" t="str">
        <f t="shared" si="0"/>
        <v>E03 -F05 -PB -B02</v>
      </c>
      <c r="K27" s="12"/>
    </row>
    <row r="28" spans="1:11" x14ac:dyDescent="0.25">
      <c r="A28">
        <f t="shared" si="1"/>
        <v>20</v>
      </c>
      <c r="B28" s="31" t="s">
        <v>468</v>
      </c>
      <c r="C28" s="13" t="s">
        <v>49</v>
      </c>
      <c r="D28" s="14" t="s">
        <v>50</v>
      </c>
      <c r="E28" s="14">
        <v>16</v>
      </c>
      <c r="F28" s="25" t="s">
        <v>474</v>
      </c>
      <c r="G28" s="26" t="s">
        <v>485</v>
      </c>
      <c r="H28" s="26"/>
      <c r="I28" s="27" t="s">
        <v>475</v>
      </c>
      <c r="J28" s="33" t="str">
        <f t="shared" si="0"/>
        <v>E05 -F03 -B02</v>
      </c>
      <c r="K28" s="12"/>
    </row>
    <row r="29" spans="1:11" x14ac:dyDescent="0.25">
      <c r="A29">
        <f t="shared" si="1"/>
        <v>21</v>
      </c>
      <c r="B29" s="31" t="s">
        <v>468</v>
      </c>
      <c r="C29" s="13" t="s">
        <v>51</v>
      </c>
      <c r="D29" s="14" t="s">
        <v>52</v>
      </c>
      <c r="E29" s="14">
        <v>1</v>
      </c>
      <c r="F29" s="25" t="s">
        <v>483</v>
      </c>
      <c r="G29" s="26" t="s">
        <v>478</v>
      </c>
      <c r="H29" s="26"/>
      <c r="I29" s="27" t="s">
        <v>477</v>
      </c>
      <c r="J29" s="33" t="str">
        <f t="shared" si="0"/>
        <v>E06 -F01</v>
      </c>
      <c r="K29" s="12"/>
    </row>
    <row r="30" spans="1:11" x14ac:dyDescent="0.25">
      <c r="A30">
        <f t="shared" si="1"/>
        <v>22</v>
      </c>
      <c r="B30" s="31" t="s">
        <v>468</v>
      </c>
      <c r="C30" s="13" t="s">
        <v>53</v>
      </c>
      <c r="D30" s="14" t="s">
        <v>54</v>
      </c>
      <c r="E30" s="14">
        <v>2</v>
      </c>
      <c r="F30" s="25" t="s">
        <v>479</v>
      </c>
      <c r="G30" s="26" t="s">
        <v>488</v>
      </c>
      <c r="H30" s="26" t="s">
        <v>480</v>
      </c>
      <c r="I30" s="27" t="s">
        <v>478</v>
      </c>
      <c r="J30" s="33" t="str">
        <f t="shared" si="0"/>
        <v>E01 -F07 -PB -B01</v>
      </c>
      <c r="K30" s="12" t="s">
        <v>12</v>
      </c>
    </row>
    <row r="31" spans="1:11" x14ac:dyDescent="0.25">
      <c r="A31">
        <f t="shared" si="1"/>
        <v>23</v>
      </c>
      <c r="B31" s="31" t="s">
        <v>468</v>
      </c>
      <c r="C31" s="13" t="s">
        <v>55</v>
      </c>
      <c r="D31" s="14" t="s">
        <v>56</v>
      </c>
      <c r="E31" s="14">
        <v>1</v>
      </c>
      <c r="F31" s="25" t="s">
        <v>479</v>
      </c>
      <c r="G31" s="26" t="s">
        <v>488</v>
      </c>
      <c r="H31" s="26" t="s">
        <v>480</v>
      </c>
      <c r="I31" s="27" t="s">
        <v>478</v>
      </c>
      <c r="J31" s="33" t="str">
        <f t="shared" si="0"/>
        <v>E01 -F07 -PB -B01</v>
      </c>
      <c r="K31" s="12"/>
    </row>
    <row r="32" spans="1:11" x14ac:dyDescent="0.25">
      <c r="A32">
        <f t="shared" si="1"/>
        <v>24</v>
      </c>
      <c r="B32" s="31" t="s">
        <v>468</v>
      </c>
      <c r="C32" s="13" t="s">
        <v>57</v>
      </c>
      <c r="D32" s="14" t="s">
        <v>58</v>
      </c>
      <c r="E32" s="14">
        <v>1</v>
      </c>
      <c r="F32" s="28" t="s">
        <v>59</v>
      </c>
      <c r="G32" s="29"/>
      <c r="H32" s="29"/>
      <c r="I32" s="30"/>
      <c r="J32" s="33" t="s">
        <v>59</v>
      </c>
      <c r="K32" s="12"/>
    </row>
    <row r="33" spans="1:11" x14ac:dyDescent="0.25">
      <c r="A33">
        <f t="shared" si="1"/>
        <v>25</v>
      </c>
      <c r="B33" s="31" t="s">
        <v>468</v>
      </c>
      <c r="C33" s="13" t="s">
        <v>60</v>
      </c>
      <c r="D33" s="14" t="s">
        <v>61</v>
      </c>
      <c r="E33" s="14">
        <v>2</v>
      </c>
      <c r="F33" s="25" t="s">
        <v>476</v>
      </c>
      <c r="G33" s="26" t="s">
        <v>481</v>
      </c>
      <c r="H33" s="26"/>
      <c r="I33" s="27" t="s">
        <v>475</v>
      </c>
      <c r="J33" s="33" t="str">
        <f t="shared" si="0"/>
        <v>E04 -F02 -B02</v>
      </c>
      <c r="K33" s="12"/>
    </row>
    <row r="34" spans="1:11" x14ac:dyDescent="0.25">
      <c r="A34">
        <f t="shared" si="1"/>
        <v>26</v>
      </c>
      <c r="B34" s="31" t="s">
        <v>468</v>
      </c>
      <c r="C34" s="13" t="s">
        <v>62</v>
      </c>
      <c r="D34" s="14" t="s">
        <v>61</v>
      </c>
      <c r="E34" s="14">
        <v>4</v>
      </c>
      <c r="F34" s="25" t="s">
        <v>476</v>
      </c>
      <c r="G34" s="26" t="s">
        <v>481</v>
      </c>
      <c r="H34" s="26"/>
      <c r="I34" s="27" t="s">
        <v>475</v>
      </c>
      <c r="J34" s="33" t="str">
        <f t="shared" si="0"/>
        <v>E04 -F02 -B02</v>
      </c>
      <c r="K34" s="12"/>
    </row>
    <row r="35" spans="1:11" x14ac:dyDescent="0.25">
      <c r="A35">
        <f t="shared" si="1"/>
        <v>27</v>
      </c>
      <c r="B35" s="31" t="s">
        <v>468</v>
      </c>
      <c r="C35" s="13" t="s">
        <v>63</v>
      </c>
      <c r="D35" s="14" t="s">
        <v>64</v>
      </c>
      <c r="E35" s="14">
        <v>10</v>
      </c>
      <c r="F35" s="25" t="s">
        <v>476</v>
      </c>
      <c r="G35" s="26" t="s">
        <v>481</v>
      </c>
      <c r="H35" s="26"/>
      <c r="I35" s="27" t="s">
        <v>487</v>
      </c>
      <c r="J35" s="33" t="str">
        <f t="shared" si="0"/>
        <v>E04 -F02 -B03</v>
      </c>
      <c r="K35" s="12"/>
    </row>
    <row r="36" spans="1:11" x14ac:dyDescent="0.25">
      <c r="A36">
        <f t="shared" si="1"/>
        <v>28</v>
      </c>
      <c r="B36" s="31" t="s">
        <v>468</v>
      </c>
      <c r="C36" s="13" t="s">
        <v>65</v>
      </c>
      <c r="D36" s="14" t="s">
        <v>66</v>
      </c>
      <c r="E36" s="14">
        <v>1</v>
      </c>
      <c r="F36" s="25" t="s">
        <v>479</v>
      </c>
      <c r="G36" s="26" t="s">
        <v>486</v>
      </c>
      <c r="H36" s="26" t="s">
        <v>482</v>
      </c>
      <c r="I36" s="27" t="s">
        <v>484</v>
      </c>
      <c r="J36" s="33" t="str">
        <f t="shared" si="0"/>
        <v>E01 -F08 -PA -B04</v>
      </c>
      <c r="K36" s="12"/>
    </row>
    <row r="37" spans="1:11" x14ac:dyDescent="0.25">
      <c r="A37">
        <f t="shared" si="1"/>
        <v>29</v>
      </c>
      <c r="B37" s="31" t="s">
        <v>468</v>
      </c>
      <c r="C37" s="13" t="s">
        <v>67</v>
      </c>
      <c r="D37" s="14" t="s">
        <v>68</v>
      </c>
      <c r="E37" s="14">
        <v>1</v>
      </c>
      <c r="F37" s="25" t="s">
        <v>479</v>
      </c>
      <c r="G37" s="26" t="s">
        <v>486</v>
      </c>
      <c r="H37" s="26" t="s">
        <v>482</v>
      </c>
      <c r="I37" s="27" t="s">
        <v>484</v>
      </c>
      <c r="J37" s="33" t="str">
        <f t="shared" si="0"/>
        <v>E01 -F08 -PA -B04</v>
      </c>
      <c r="K37" s="12"/>
    </row>
    <row r="38" spans="1:11" x14ac:dyDescent="0.25">
      <c r="A38">
        <f t="shared" si="1"/>
        <v>30</v>
      </c>
      <c r="B38" s="31" t="s">
        <v>468</v>
      </c>
      <c r="C38" s="13" t="s">
        <v>69</v>
      </c>
      <c r="D38" s="14" t="s">
        <v>70</v>
      </c>
      <c r="E38" s="14">
        <v>1</v>
      </c>
      <c r="F38" s="25" t="s">
        <v>479</v>
      </c>
      <c r="G38" s="26" t="s">
        <v>488</v>
      </c>
      <c r="H38" s="26" t="s">
        <v>480</v>
      </c>
      <c r="I38" s="27" t="s">
        <v>487</v>
      </c>
      <c r="J38" s="33" t="str">
        <f t="shared" si="0"/>
        <v>E01 -F07 -PB -B03</v>
      </c>
      <c r="K38" s="12"/>
    </row>
    <row r="39" spans="1:11" x14ac:dyDescent="0.25">
      <c r="A39">
        <f t="shared" si="1"/>
        <v>31</v>
      </c>
      <c r="B39" s="31" t="s">
        <v>468</v>
      </c>
      <c r="C39" s="13" t="s">
        <v>71</v>
      </c>
      <c r="D39" s="14" t="s">
        <v>72</v>
      </c>
      <c r="E39" s="14">
        <v>4</v>
      </c>
      <c r="F39" s="25" t="s">
        <v>479</v>
      </c>
      <c r="G39" s="26" t="s">
        <v>488</v>
      </c>
      <c r="H39" s="26" t="s">
        <v>482</v>
      </c>
      <c r="I39" s="27" t="s">
        <v>478</v>
      </c>
      <c r="J39" s="33" t="str">
        <f t="shared" si="0"/>
        <v>E01 -F07 -PA -B01</v>
      </c>
      <c r="K39" s="12" t="s">
        <v>12</v>
      </c>
    </row>
    <row r="40" spans="1:11" x14ac:dyDescent="0.25">
      <c r="A40">
        <f t="shared" si="1"/>
        <v>32</v>
      </c>
      <c r="B40" s="31" t="s">
        <v>468</v>
      </c>
      <c r="C40" s="13" t="s">
        <v>73</v>
      </c>
      <c r="D40" s="14" t="s">
        <v>74</v>
      </c>
      <c r="E40" s="14">
        <v>7</v>
      </c>
      <c r="F40" s="25" t="s">
        <v>481</v>
      </c>
      <c r="G40" s="26" t="s">
        <v>485</v>
      </c>
      <c r="H40" s="26" t="s">
        <v>480</v>
      </c>
      <c r="I40" s="27" t="s">
        <v>487</v>
      </c>
      <c r="J40" s="33" t="str">
        <f t="shared" si="0"/>
        <v>E02 -F03 -PB -B03</v>
      </c>
      <c r="K40" s="12" t="s">
        <v>12</v>
      </c>
    </row>
    <row r="41" spans="1:11" x14ac:dyDescent="0.25">
      <c r="A41">
        <f t="shared" si="1"/>
        <v>33</v>
      </c>
      <c r="B41" s="31" t="s">
        <v>468</v>
      </c>
      <c r="C41" s="13" t="s">
        <v>75</v>
      </c>
      <c r="D41" s="14" t="s">
        <v>76</v>
      </c>
      <c r="E41" s="14">
        <v>4</v>
      </c>
      <c r="F41" s="25" t="s">
        <v>481</v>
      </c>
      <c r="G41" s="26" t="s">
        <v>485</v>
      </c>
      <c r="H41" s="26" t="s">
        <v>482</v>
      </c>
      <c r="I41" s="27" t="s">
        <v>478</v>
      </c>
      <c r="J41" s="33" t="str">
        <f t="shared" si="0"/>
        <v>E02 -F03 -PA -B01</v>
      </c>
      <c r="K41" s="12" t="s">
        <v>12</v>
      </c>
    </row>
    <row r="42" spans="1:11" x14ac:dyDescent="0.25">
      <c r="A42">
        <f t="shared" si="1"/>
        <v>34</v>
      </c>
      <c r="B42" s="31" t="s">
        <v>468</v>
      </c>
      <c r="C42" s="13" t="s">
        <v>77</v>
      </c>
      <c r="D42" s="14" t="s">
        <v>78</v>
      </c>
      <c r="E42" s="14">
        <v>1</v>
      </c>
      <c r="F42" s="25" t="s">
        <v>481</v>
      </c>
      <c r="G42" s="26" t="s">
        <v>485</v>
      </c>
      <c r="H42" s="26" t="s">
        <v>482</v>
      </c>
      <c r="I42" s="27" t="s">
        <v>475</v>
      </c>
      <c r="J42" s="33" t="str">
        <f t="shared" si="0"/>
        <v>E02 -F03 -PA -B02</v>
      </c>
      <c r="K42" s="12"/>
    </row>
    <row r="43" spans="1:11" x14ac:dyDescent="0.25">
      <c r="A43">
        <f t="shared" si="1"/>
        <v>35</v>
      </c>
      <c r="B43" s="31" t="s">
        <v>468</v>
      </c>
      <c r="C43" s="13" t="s">
        <v>79</v>
      </c>
      <c r="D43" s="14" t="s">
        <v>80</v>
      </c>
      <c r="E43" s="14">
        <v>4</v>
      </c>
      <c r="F43" s="25" t="s">
        <v>485</v>
      </c>
      <c r="G43" s="26" t="s">
        <v>474</v>
      </c>
      <c r="H43" s="26" t="s">
        <v>480</v>
      </c>
      <c r="I43" s="27" t="s">
        <v>487</v>
      </c>
      <c r="J43" s="33" t="str">
        <f t="shared" si="0"/>
        <v>E03 -F05 -PB -B03</v>
      </c>
      <c r="K43" s="12"/>
    </row>
    <row r="44" spans="1:11" x14ac:dyDescent="0.25">
      <c r="A44">
        <f t="shared" si="1"/>
        <v>36</v>
      </c>
      <c r="B44" s="31" t="s">
        <v>468</v>
      </c>
      <c r="C44" s="13" t="s">
        <v>81</v>
      </c>
      <c r="D44" s="14" t="s">
        <v>82</v>
      </c>
      <c r="E44" s="14">
        <v>5</v>
      </c>
      <c r="F44" s="25" t="s">
        <v>481</v>
      </c>
      <c r="G44" s="26" t="s">
        <v>481</v>
      </c>
      <c r="H44" s="26" t="s">
        <v>482</v>
      </c>
      <c r="I44" s="27" t="s">
        <v>475</v>
      </c>
      <c r="J44" s="33" t="str">
        <f t="shared" si="0"/>
        <v>E02 -F02 -PA -B02</v>
      </c>
      <c r="K44" s="12" t="s">
        <v>12</v>
      </c>
    </row>
    <row r="45" spans="1:11" x14ac:dyDescent="0.25">
      <c r="A45">
        <f t="shared" si="1"/>
        <v>37</v>
      </c>
      <c r="B45" s="31" t="s">
        <v>468</v>
      </c>
      <c r="C45" s="13" t="s">
        <v>83</v>
      </c>
      <c r="D45" s="14" t="s">
        <v>84</v>
      </c>
      <c r="E45" s="14">
        <v>3</v>
      </c>
      <c r="F45" s="25" t="s">
        <v>481</v>
      </c>
      <c r="G45" s="26" t="s">
        <v>485</v>
      </c>
      <c r="H45" s="26" t="s">
        <v>482</v>
      </c>
      <c r="I45" s="27" t="s">
        <v>487</v>
      </c>
      <c r="J45" s="33" t="str">
        <f t="shared" si="0"/>
        <v>E02 -F03 -PA -B03</v>
      </c>
      <c r="K45" s="12"/>
    </row>
    <row r="46" spans="1:11" x14ac:dyDescent="0.25">
      <c r="A46">
        <f t="shared" si="1"/>
        <v>38</v>
      </c>
      <c r="B46" s="31" t="s">
        <v>468</v>
      </c>
      <c r="C46" s="13" t="s">
        <v>85</v>
      </c>
      <c r="D46" s="14" t="s">
        <v>86</v>
      </c>
      <c r="E46" s="14">
        <v>68</v>
      </c>
      <c r="F46" s="25" t="s">
        <v>479</v>
      </c>
      <c r="G46" s="26" t="s">
        <v>474</v>
      </c>
      <c r="H46" s="26" t="s">
        <v>482</v>
      </c>
      <c r="I46" s="27" t="s">
        <v>478</v>
      </c>
      <c r="J46" s="33" t="str">
        <f t="shared" si="0"/>
        <v>E01 -F05 -PA -B01</v>
      </c>
      <c r="K46" s="12" t="s">
        <v>12</v>
      </c>
    </row>
    <row r="47" spans="1:11" x14ac:dyDescent="0.25">
      <c r="A47">
        <f t="shared" si="1"/>
        <v>39</v>
      </c>
      <c r="B47" s="31" t="s">
        <v>468</v>
      </c>
      <c r="C47" s="13" t="s">
        <v>87</v>
      </c>
      <c r="D47" s="14" t="s">
        <v>88</v>
      </c>
      <c r="E47" s="14">
        <v>2</v>
      </c>
      <c r="F47" s="25" t="s">
        <v>479</v>
      </c>
      <c r="G47" s="26" t="s">
        <v>474</v>
      </c>
      <c r="H47" s="26" t="s">
        <v>482</v>
      </c>
      <c r="I47" s="27" t="s">
        <v>475</v>
      </c>
      <c r="J47" s="33" t="str">
        <f t="shared" si="0"/>
        <v>E01 -F05 -PA -B02</v>
      </c>
      <c r="K47" s="12"/>
    </row>
    <row r="48" spans="1:11" x14ac:dyDescent="0.25">
      <c r="A48">
        <f t="shared" si="1"/>
        <v>40</v>
      </c>
      <c r="B48" s="31" t="s">
        <v>468</v>
      </c>
      <c r="C48" s="13" t="s">
        <v>89</v>
      </c>
      <c r="D48" s="14" t="s">
        <v>90</v>
      </c>
      <c r="E48" s="14">
        <v>8</v>
      </c>
      <c r="F48" s="25" t="s">
        <v>485</v>
      </c>
      <c r="G48" s="26" t="s">
        <v>485</v>
      </c>
      <c r="H48" s="26" t="s">
        <v>480</v>
      </c>
      <c r="I48" s="27" t="s">
        <v>478</v>
      </c>
      <c r="J48" s="33" t="str">
        <f t="shared" si="0"/>
        <v>E03 -F03 -PB -B01</v>
      </c>
      <c r="K48" s="12"/>
    </row>
    <row r="49" spans="1:11" x14ac:dyDescent="0.25">
      <c r="A49">
        <f t="shared" si="1"/>
        <v>41</v>
      </c>
      <c r="B49" s="31" t="s">
        <v>468</v>
      </c>
      <c r="C49" s="13" t="s">
        <v>91</v>
      </c>
      <c r="D49" s="14" t="s">
        <v>92</v>
      </c>
      <c r="E49" s="14">
        <v>15</v>
      </c>
      <c r="F49" s="25" t="s">
        <v>479</v>
      </c>
      <c r="G49" s="26" t="s">
        <v>474</v>
      </c>
      <c r="H49" s="26" t="s">
        <v>480</v>
      </c>
      <c r="I49" s="27" t="s">
        <v>478</v>
      </c>
      <c r="J49" s="33" t="str">
        <f t="shared" si="0"/>
        <v>E01 -F05 -PB -B01</v>
      </c>
      <c r="K49" s="12" t="s">
        <v>12</v>
      </c>
    </row>
    <row r="50" spans="1:11" x14ac:dyDescent="0.25">
      <c r="A50">
        <f t="shared" si="1"/>
        <v>42</v>
      </c>
      <c r="B50" s="31" t="s">
        <v>468</v>
      </c>
      <c r="C50" s="13" t="s">
        <v>93</v>
      </c>
      <c r="D50" s="14" t="s">
        <v>94</v>
      </c>
      <c r="E50" s="14">
        <v>30</v>
      </c>
      <c r="F50" s="25" t="s">
        <v>485</v>
      </c>
      <c r="G50" s="26" t="s">
        <v>485</v>
      </c>
      <c r="H50" s="26" t="s">
        <v>482</v>
      </c>
      <c r="I50" s="27" t="s">
        <v>478</v>
      </c>
      <c r="J50" s="33" t="str">
        <f t="shared" si="0"/>
        <v>E03 -F03 -PA -B01</v>
      </c>
      <c r="K50" s="12" t="s">
        <v>12</v>
      </c>
    </row>
    <row r="51" spans="1:11" x14ac:dyDescent="0.25">
      <c r="A51">
        <f t="shared" si="1"/>
        <v>43</v>
      </c>
      <c r="B51" s="31" t="s">
        <v>468</v>
      </c>
      <c r="C51" s="13" t="s">
        <v>95</v>
      </c>
      <c r="D51" s="14" t="s">
        <v>96</v>
      </c>
      <c r="E51" s="14">
        <v>4</v>
      </c>
      <c r="F51" s="25" t="s">
        <v>481</v>
      </c>
      <c r="G51" s="26" t="s">
        <v>488</v>
      </c>
      <c r="H51" s="26" t="s">
        <v>482</v>
      </c>
      <c r="I51" s="27" t="s">
        <v>478</v>
      </c>
      <c r="J51" s="33" t="str">
        <f t="shared" si="0"/>
        <v>E02 -F07 -PA -B01</v>
      </c>
      <c r="K51" s="12" t="s">
        <v>12</v>
      </c>
    </row>
    <row r="52" spans="1:11" x14ac:dyDescent="0.25">
      <c r="A52">
        <f t="shared" si="1"/>
        <v>44</v>
      </c>
      <c r="B52" s="31" t="s">
        <v>468</v>
      </c>
      <c r="C52" s="13" t="s">
        <v>97</v>
      </c>
      <c r="D52" s="14" t="s">
        <v>98</v>
      </c>
      <c r="E52" s="14">
        <v>8</v>
      </c>
      <c r="F52" s="25" t="s">
        <v>479</v>
      </c>
      <c r="G52" s="26" t="s">
        <v>474</v>
      </c>
      <c r="H52" s="26" t="s">
        <v>482</v>
      </c>
      <c r="I52" s="27" t="s">
        <v>487</v>
      </c>
      <c r="J52" s="33" t="str">
        <f t="shared" si="0"/>
        <v>E01 -F05 -PA -B03</v>
      </c>
      <c r="K52" s="12"/>
    </row>
    <row r="53" spans="1:11" x14ac:dyDescent="0.25">
      <c r="A53">
        <f t="shared" si="1"/>
        <v>45</v>
      </c>
      <c r="B53" s="31" t="s">
        <v>468</v>
      </c>
      <c r="C53" s="13" t="s">
        <v>99</v>
      </c>
      <c r="D53" s="14" t="s">
        <v>100</v>
      </c>
      <c r="E53" s="14">
        <v>18</v>
      </c>
      <c r="F53" s="25" t="s">
        <v>485</v>
      </c>
      <c r="G53" s="26" t="s">
        <v>485</v>
      </c>
      <c r="H53" s="26" t="s">
        <v>480</v>
      </c>
      <c r="I53" s="27" t="s">
        <v>475</v>
      </c>
      <c r="J53" s="33" t="str">
        <f t="shared" si="0"/>
        <v>E03 -F03 -PB -B02</v>
      </c>
      <c r="K53" s="12"/>
    </row>
    <row r="54" spans="1:11" x14ac:dyDescent="0.25">
      <c r="A54">
        <f t="shared" si="1"/>
        <v>46</v>
      </c>
      <c r="B54" s="31" t="s">
        <v>468</v>
      </c>
      <c r="C54" s="13" t="s">
        <v>101</v>
      </c>
      <c r="D54" s="14" t="s">
        <v>102</v>
      </c>
      <c r="E54" s="14">
        <v>101</v>
      </c>
      <c r="F54" s="25" t="s">
        <v>479</v>
      </c>
      <c r="G54" s="26" t="s">
        <v>474</v>
      </c>
      <c r="H54" s="26" t="s">
        <v>482</v>
      </c>
      <c r="I54" s="27" t="s">
        <v>484</v>
      </c>
      <c r="J54" s="33" t="str">
        <f t="shared" si="0"/>
        <v>E01 -F05 -PA -B04</v>
      </c>
      <c r="K54" s="12"/>
    </row>
    <row r="55" spans="1:11" x14ac:dyDescent="0.25">
      <c r="A55">
        <f t="shared" si="1"/>
        <v>47</v>
      </c>
      <c r="B55" s="31" t="s">
        <v>468</v>
      </c>
      <c r="C55" s="13" t="s">
        <v>103</v>
      </c>
      <c r="D55" s="14" t="s">
        <v>104</v>
      </c>
      <c r="E55" s="14">
        <v>4</v>
      </c>
      <c r="F55" s="25" t="s">
        <v>479</v>
      </c>
      <c r="G55" s="26" t="s">
        <v>474</v>
      </c>
      <c r="H55" s="26" t="s">
        <v>480</v>
      </c>
      <c r="I55" s="27" t="s">
        <v>475</v>
      </c>
      <c r="J55" s="33" t="str">
        <f t="shared" si="0"/>
        <v>E01 -F05 -PB -B02</v>
      </c>
      <c r="K55" s="12" t="s">
        <v>12</v>
      </c>
    </row>
    <row r="56" spans="1:11" x14ac:dyDescent="0.25">
      <c r="A56">
        <f t="shared" si="1"/>
        <v>48</v>
      </c>
      <c r="B56" s="31" t="s">
        <v>468</v>
      </c>
      <c r="C56" s="13" t="s">
        <v>105</v>
      </c>
      <c r="D56" s="14" t="s">
        <v>106</v>
      </c>
      <c r="E56" s="14">
        <v>12</v>
      </c>
      <c r="F56" s="25" t="s">
        <v>481</v>
      </c>
      <c r="G56" s="26" t="s">
        <v>486</v>
      </c>
      <c r="H56" s="26" t="s">
        <v>482</v>
      </c>
      <c r="I56" s="27" t="s">
        <v>478</v>
      </c>
      <c r="J56" s="33" t="str">
        <f t="shared" si="0"/>
        <v>E02 -F08 -PA -B01</v>
      </c>
      <c r="K56" s="12" t="s">
        <v>12</v>
      </c>
    </row>
    <row r="57" spans="1:11" x14ac:dyDescent="0.25">
      <c r="A57">
        <f t="shared" si="1"/>
        <v>49</v>
      </c>
      <c r="B57" s="31" t="s">
        <v>468</v>
      </c>
      <c r="C57" s="13" t="s">
        <v>107</v>
      </c>
      <c r="D57" s="14" t="s">
        <v>108</v>
      </c>
      <c r="E57" s="14">
        <v>12</v>
      </c>
      <c r="F57" s="25" t="s">
        <v>479</v>
      </c>
      <c r="G57" s="26" t="s">
        <v>474</v>
      </c>
      <c r="H57" s="26" t="s">
        <v>480</v>
      </c>
      <c r="I57" s="27" t="s">
        <v>487</v>
      </c>
      <c r="J57" s="33" t="str">
        <f t="shared" si="0"/>
        <v>E01 -F05 -PB -B03</v>
      </c>
      <c r="K57" s="12" t="s">
        <v>12</v>
      </c>
    </row>
    <row r="58" spans="1:11" x14ac:dyDescent="0.25">
      <c r="A58">
        <f t="shared" si="1"/>
        <v>50</v>
      </c>
      <c r="B58" s="31" t="s">
        <v>468</v>
      </c>
      <c r="C58" s="13" t="s">
        <v>109</v>
      </c>
      <c r="D58" s="14" t="s">
        <v>110</v>
      </c>
      <c r="E58" s="14">
        <v>17</v>
      </c>
      <c r="F58" s="25" t="s">
        <v>479</v>
      </c>
      <c r="G58" s="26" t="s">
        <v>488</v>
      </c>
      <c r="H58" s="26" t="s">
        <v>480</v>
      </c>
      <c r="I58" s="27" t="s">
        <v>475</v>
      </c>
      <c r="J58" s="33" t="str">
        <f t="shared" si="0"/>
        <v>E01 -F07 -PB -B02</v>
      </c>
      <c r="K58" s="12" t="s">
        <v>12</v>
      </c>
    </row>
    <row r="59" spans="1:11" x14ac:dyDescent="0.25">
      <c r="A59">
        <f t="shared" si="1"/>
        <v>51</v>
      </c>
      <c r="B59" s="31" t="s">
        <v>468</v>
      </c>
      <c r="C59" s="13" t="s">
        <v>111</v>
      </c>
      <c r="D59" s="14" t="s">
        <v>112</v>
      </c>
      <c r="E59" s="14">
        <v>1</v>
      </c>
      <c r="F59" s="25" t="s">
        <v>485</v>
      </c>
      <c r="G59" s="26" t="s">
        <v>485</v>
      </c>
      <c r="H59" s="26" t="s">
        <v>482</v>
      </c>
      <c r="I59" s="27" t="s">
        <v>475</v>
      </c>
      <c r="J59" s="33" t="str">
        <f t="shared" si="0"/>
        <v>E03 -F03 -PA -B02</v>
      </c>
      <c r="K59" s="12" t="s">
        <v>12</v>
      </c>
    </row>
    <row r="60" spans="1:11" x14ac:dyDescent="0.25">
      <c r="A60">
        <f t="shared" si="1"/>
        <v>52</v>
      </c>
      <c r="B60" s="31" t="s">
        <v>468</v>
      </c>
      <c r="C60" s="13" t="s">
        <v>113</v>
      </c>
      <c r="D60" s="14" t="s">
        <v>114</v>
      </c>
      <c r="E60" s="14">
        <v>13</v>
      </c>
      <c r="F60" s="25" t="s">
        <v>481</v>
      </c>
      <c r="G60" s="26" t="s">
        <v>488</v>
      </c>
      <c r="H60" s="26" t="s">
        <v>480</v>
      </c>
      <c r="I60" s="27" t="s">
        <v>478</v>
      </c>
      <c r="J60" s="33" t="str">
        <f t="shared" si="0"/>
        <v>E02 -F07 -PB -B01</v>
      </c>
      <c r="K60" s="12" t="s">
        <v>12</v>
      </c>
    </row>
    <row r="61" spans="1:11" x14ac:dyDescent="0.25">
      <c r="A61">
        <f t="shared" si="1"/>
        <v>53</v>
      </c>
      <c r="B61" s="31" t="s">
        <v>468</v>
      </c>
      <c r="C61" s="13" t="s">
        <v>115</v>
      </c>
      <c r="D61" s="14" t="s">
        <v>116</v>
      </c>
      <c r="E61" s="14">
        <v>6</v>
      </c>
      <c r="F61" s="25" t="s">
        <v>479</v>
      </c>
      <c r="G61" s="26" t="s">
        <v>483</v>
      </c>
      <c r="H61" s="26" t="s">
        <v>482</v>
      </c>
      <c r="I61" s="27" t="s">
        <v>478</v>
      </c>
      <c r="J61" s="33" t="str">
        <f t="shared" si="0"/>
        <v>E01 -F06 -PA -B01</v>
      </c>
      <c r="K61" s="12" t="s">
        <v>12</v>
      </c>
    </row>
    <row r="62" spans="1:11" x14ac:dyDescent="0.25">
      <c r="A62">
        <f t="shared" si="1"/>
        <v>54</v>
      </c>
      <c r="B62" s="31" t="s">
        <v>468</v>
      </c>
      <c r="C62" s="13" t="s">
        <v>117</v>
      </c>
      <c r="D62" s="14" t="s">
        <v>118</v>
      </c>
      <c r="E62" s="14">
        <v>17</v>
      </c>
      <c r="F62" s="25" t="s">
        <v>481</v>
      </c>
      <c r="G62" s="26" t="s">
        <v>486</v>
      </c>
      <c r="H62" s="26" t="s">
        <v>482</v>
      </c>
      <c r="I62" s="27" t="s">
        <v>475</v>
      </c>
      <c r="J62" s="33" t="str">
        <f t="shared" si="0"/>
        <v>E02 -F08 -PA -B02</v>
      </c>
      <c r="K62" s="12" t="s">
        <v>12</v>
      </c>
    </row>
    <row r="63" spans="1:11" x14ac:dyDescent="0.25">
      <c r="A63">
        <f t="shared" si="1"/>
        <v>55</v>
      </c>
      <c r="B63" s="31" t="s">
        <v>468</v>
      </c>
      <c r="C63" s="13" t="s">
        <v>119</v>
      </c>
      <c r="D63" s="14" t="s">
        <v>120</v>
      </c>
      <c r="E63" s="32">
        <v>0</v>
      </c>
      <c r="F63" s="25" t="s">
        <v>481</v>
      </c>
      <c r="G63" s="26" t="s">
        <v>488</v>
      </c>
      <c r="H63" s="26" t="s">
        <v>480</v>
      </c>
      <c r="I63" s="27" t="s">
        <v>475</v>
      </c>
      <c r="J63" s="33" t="str">
        <f t="shared" si="0"/>
        <v>E02 -F07 -PB -B02</v>
      </c>
      <c r="K63" s="12" t="s">
        <v>490</v>
      </c>
    </row>
    <row r="64" spans="1:11" x14ac:dyDescent="0.25">
      <c r="A64">
        <f t="shared" si="1"/>
        <v>56</v>
      </c>
      <c r="B64" s="31" t="s">
        <v>468</v>
      </c>
      <c r="C64" s="13" t="s">
        <v>121</v>
      </c>
      <c r="D64" s="14" t="s">
        <v>122</v>
      </c>
      <c r="E64" s="14">
        <v>68</v>
      </c>
      <c r="F64" s="25" t="s">
        <v>479</v>
      </c>
      <c r="G64" s="26" t="s">
        <v>483</v>
      </c>
      <c r="H64" s="26" t="s">
        <v>482</v>
      </c>
      <c r="I64" s="27" t="s">
        <v>475</v>
      </c>
      <c r="J64" s="33" t="str">
        <f t="shared" si="0"/>
        <v>E01 -F06 -PA -B02</v>
      </c>
      <c r="K64" s="12"/>
    </row>
    <row r="65" spans="1:11" x14ac:dyDescent="0.25">
      <c r="A65">
        <f t="shared" si="1"/>
        <v>57</v>
      </c>
      <c r="B65" s="31" t="s">
        <v>468</v>
      </c>
      <c r="C65" s="13" t="s">
        <v>123</v>
      </c>
      <c r="D65" s="14" t="s">
        <v>124</v>
      </c>
      <c r="E65" s="14">
        <v>144</v>
      </c>
      <c r="F65" s="25" t="s">
        <v>479</v>
      </c>
      <c r="G65" s="26" t="s">
        <v>486</v>
      </c>
      <c r="H65" s="26" t="s">
        <v>482</v>
      </c>
      <c r="I65" s="27" t="s">
        <v>475</v>
      </c>
      <c r="J65" s="33" t="str">
        <f t="shared" si="0"/>
        <v>E01 -F08 -PA -B02</v>
      </c>
      <c r="K65" s="12" t="s">
        <v>125</v>
      </c>
    </row>
    <row r="66" spans="1:11" x14ac:dyDescent="0.25">
      <c r="A66">
        <f t="shared" si="1"/>
        <v>58</v>
      </c>
      <c r="B66" s="31" t="s">
        <v>468</v>
      </c>
      <c r="C66" s="13" t="s">
        <v>126</v>
      </c>
      <c r="D66" s="14" t="s">
        <v>127</v>
      </c>
      <c r="E66" s="14">
        <v>27</v>
      </c>
      <c r="F66" s="25" t="s">
        <v>481</v>
      </c>
      <c r="G66" s="26" t="s">
        <v>486</v>
      </c>
      <c r="H66" s="26" t="s">
        <v>482</v>
      </c>
      <c r="I66" s="27" t="s">
        <v>487</v>
      </c>
      <c r="J66" s="33" t="str">
        <f t="shared" si="0"/>
        <v>E02 -F08 -PA -B03</v>
      </c>
      <c r="K66" s="12" t="s">
        <v>12</v>
      </c>
    </row>
    <row r="67" spans="1:11" x14ac:dyDescent="0.25">
      <c r="A67">
        <f t="shared" si="1"/>
        <v>59</v>
      </c>
      <c r="B67" s="31" t="s">
        <v>468</v>
      </c>
      <c r="C67" s="13" t="s">
        <v>128</v>
      </c>
      <c r="D67" s="14" t="s">
        <v>129</v>
      </c>
      <c r="E67" s="32">
        <v>0</v>
      </c>
      <c r="F67" s="25" t="s">
        <v>479</v>
      </c>
      <c r="G67" s="26" t="s">
        <v>488</v>
      </c>
      <c r="H67" s="26" t="s">
        <v>482</v>
      </c>
      <c r="I67" s="27" t="s">
        <v>487</v>
      </c>
      <c r="J67" s="33" t="str">
        <f t="shared" si="0"/>
        <v>E01 -F07 -PA -B03</v>
      </c>
      <c r="K67" s="12"/>
    </row>
    <row r="68" spans="1:11" x14ac:dyDescent="0.25">
      <c r="A68">
        <f t="shared" si="1"/>
        <v>60</v>
      </c>
      <c r="B68" s="31" t="s">
        <v>468</v>
      </c>
      <c r="C68" s="13" t="s">
        <v>130</v>
      </c>
      <c r="D68" s="14" t="s">
        <v>131</v>
      </c>
      <c r="E68" s="14">
        <v>46</v>
      </c>
      <c r="F68" s="25" t="s">
        <v>481</v>
      </c>
      <c r="G68" s="26" t="s">
        <v>486</v>
      </c>
      <c r="H68" s="26" t="s">
        <v>482</v>
      </c>
      <c r="I68" s="27" t="s">
        <v>484</v>
      </c>
      <c r="J68" s="33" t="str">
        <f t="shared" si="0"/>
        <v>E02 -F08 -PA -B04</v>
      </c>
      <c r="K68" s="12"/>
    </row>
    <row r="69" spans="1:11" x14ac:dyDescent="0.25">
      <c r="A69">
        <f t="shared" si="1"/>
        <v>61</v>
      </c>
      <c r="B69" s="31" t="s">
        <v>468</v>
      </c>
      <c r="C69" s="13" t="s">
        <v>132</v>
      </c>
      <c r="D69" s="14" t="s">
        <v>133</v>
      </c>
      <c r="E69" s="14">
        <v>15</v>
      </c>
      <c r="F69" s="25" t="s">
        <v>479</v>
      </c>
      <c r="G69" s="26" t="s">
        <v>474</v>
      </c>
      <c r="H69" s="26" t="s">
        <v>480</v>
      </c>
      <c r="I69" s="27" t="s">
        <v>484</v>
      </c>
      <c r="J69" s="33" t="str">
        <f t="shared" si="0"/>
        <v>E01 -F05 -PB -B04</v>
      </c>
      <c r="K69" s="12" t="s">
        <v>12</v>
      </c>
    </row>
    <row r="70" spans="1:11" x14ac:dyDescent="0.25">
      <c r="A70">
        <f t="shared" si="1"/>
        <v>62</v>
      </c>
      <c r="B70" s="31" t="s">
        <v>468</v>
      </c>
      <c r="C70" s="13" t="s">
        <v>134</v>
      </c>
      <c r="D70" s="14" t="s">
        <v>135</v>
      </c>
      <c r="E70" s="14">
        <v>5</v>
      </c>
      <c r="F70" s="25" t="s">
        <v>481</v>
      </c>
      <c r="G70" s="26" t="s">
        <v>488</v>
      </c>
      <c r="H70" s="26" t="s">
        <v>480</v>
      </c>
      <c r="I70" s="27" t="s">
        <v>487</v>
      </c>
      <c r="J70" s="33" t="str">
        <f t="shared" si="0"/>
        <v>E02 -F07 -PB -B03</v>
      </c>
      <c r="K70" s="12" t="s">
        <v>12</v>
      </c>
    </row>
    <row r="71" spans="1:11" x14ac:dyDescent="0.25">
      <c r="A71">
        <f t="shared" si="1"/>
        <v>63</v>
      </c>
      <c r="B71" s="31" t="s">
        <v>468</v>
      </c>
      <c r="C71" s="13" t="s">
        <v>136</v>
      </c>
      <c r="D71" s="14" t="s">
        <v>137</v>
      </c>
      <c r="E71" s="14">
        <v>19</v>
      </c>
      <c r="F71" s="25" t="s">
        <v>479</v>
      </c>
      <c r="G71" s="26" t="s">
        <v>486</v>
      </c>
      <c r="H71" s="26" t="s">
        <v>482</v>
      </c>
      <c r="I71" s="27" t="s">
        <v>478</v>
      </c>
      <c r="J71" s="33" t="str">
        <f t="shared" si="0"/>
        <v>E01 -F08 -PA -B01</v>
      </c>
      <c r="K71" s="12" t="s">
        <v>12</v>
      </c>
    </row>
    <row r="72" spans="1:11" x14ac:dyDescent="0.25">
      <c r="A72">
        <f t="shared" si="1"/>
        <v>64</v>
      </c>
      <c r="B72" s="31" t="s">
        <v>468</v>
      </c>
      <c r="C72" s="13" t="s">
        <v>138</v>
      </c>
      <c r="D72" s="14" t="s">
        <v>139</v>
      </c>
      <c r="E72" s="14">
        <v>116</v>
      </c>
      <c r="F72" s="25" t="s">
        <v>485</v>
      </c>
      <c r="G72" s="26" t="s">
        <v>479</v>
      </c>
      <c r="H72" s="26" t="s">
        <v>480</v>
      </c>
      <c r="I72" s="27" t="s">
        <v>475</v>
      </c>
      <c r="J72" s="33" t="str">
        <f t="shared" si="0"/>
        <v>E03 -F01 -PB -B02</v>
      </c>
      <c r="K72" s="12" t="s">
        <v>12</v>
      </c>
    </row>
    <row r="73" spans="1:11" x14ac:dyDescent="0.25">
      <c r="A73">
        <f t="shared" si="1"/>
        <v>65</v>
      </c>
      <c r="B73" s="31" t="s">
        <v>468</v>
      </c>
      <c r="C73" s="13" t="s">
        <v>140</v>
      </c>
      <c r="D73" s="14" t="s">
        <v>141</v>
      </c>
      <c r="E73" s="14">
        <v>15</v>
      </c>
      <c r="F73" s="25" t="s">
        <v>485</v>
      </c>
      <c r="G73" s="26" t="s">
        <v>485</v>
      </c>
      <c r="H73" s="26" t="s">
        <v>480</v>
      </c>
      <c r="I73" s="27" t="s">
        <v>487</v>
      </c>
      <c r="J73" s="33" t="str">
        <f t="shared" si="0"/>
        <v>E03 -F03 -PB -B03</v>
      </c>
      <c r="K73" s="12"/>
    </row>
    <row r="74" spans="1:11" x14ac:dyDescent="0.25">
      <c r="A74">
        <f t="shared" si="1"/>
        <v>66</v>
      </c>
      <c r="B74" s="31" t="s">
        <v>468</v>
      </c>
      <c r="C74" s="13" t="s">
        <v>142</v>
      </c>
      <c r="D74" s="14" t="s">
        <v>143</v>
      </c>
      <c r="E74" s="14">
        <v>5</v>
      </c>
      <c r="F74" s="25" t="s">
        <v>481</v>
      </c>
      <c r="G74" s="26" t="s">
        <v>488</v>
      </c>
      <c r="H74" s="26" t="s">
        <v>482</v>
      </c>
      <c r="I74" s="27" t="s">
        <v>475</v>
      </c>
      <c r="J74" s="33" t="str">
        <f t="shared" ref="J74:J137" si="2">IF(F74="","",+"E0"&amp;F74)&amp;IF(G74="","",+"-F0"&amp;G74)&amp;IF(H74="","",+"-P"&amp;H74)&amp;IF(I74="","",+"-B0"&amp;I74)</f>
        <v>E02 -F07 -PA -B02</v>
      </c>
      <c r="K74" s="12"/>
    </row>
    <row r="75" spans="1:11" x14ac:dyDescent="0.25">
      <c r="A75">
        <f t="shared" ref="A75:A138" si="3">+A74+1</f>
        <v>67</v>
      </c>
      <c r="B75" s="31" t="s">
        <v>468</v>
      </c>
      <c r="C75" s="13" t="s">
        <v>144</v>
      </c>
      <c r="D75" s="14" t="s">
        <v>145</v>
      </c>
      <c r="E75" s="14">
        <v>6</v>
      </c>
      <c r="F75" s="25" t="s">
        <v>479</v>
      </c>
      <c r="G75" s="26" t="s">
        <v>483</v>
      </c>
      <c r="H75" s="26" t="s">
        <v>480</v>
      </c>
      <c r="I75" s="27" t="s">
        <v>478</v>
      </c>
      <c r="J75" s="33" t="str">
        <f t="shared" si="2"/>
        <v>E01 -F06 -PB -B01</v>
      </c>
      <c r="K75" s="12" t="s">
        <v>12</v>
      </c>
    </row>
    <row r="76" spans="1:11" x14ac:dyDescent="0.25">
      <c r="A76">
        <f t="shared" si="3"/>
        <v>68</v>
      </c>
      <c r="B76" s="31" t="s">
        <v>468</v>
      </c>
      <c r="C76" s="13" t="s">
        <v>146</v>
      </c>
      <c r="D76" s="14" t="s">
        <v>147</v>
      </c>
      <c r="E76" s="14">
        <v>4</v>
      </c>
      <c r="F76" s="25" t="s">
        <v>479</v>
      </c>
      <c r="G76" s="26" t="s">
        <v>483</v>
      </c>
      <c r="H76" s="26" t="s">
        <v>482</v>
      </c>
      <c r="I76" s="27" t="s">
        <v>484</v>
      </c>
      <c r="J76" s="33" t="str">
        <f t="shared" si="2"/>
        <v>E01 -F06 -PA -B04</v>
      </c>
      <c r="K76" s="12" t="s">
        <v>12</v>
      </c>
    </row>
    <row r="77" spans="1:11" x14ac:dyDescent="0.25">
      <c r="A77">
        <f t="shared" si="3"/>
        <v>69</v>
      </c>
      <c r="B77" s="31" t="s">
        <v>468</v>
      </c>
      <c r="C77" s="13" t="s">
        <v>148</v>
      </c>
      <c r="D77" s="14" t="s">
        <v>149</v>
      </c>
      <c r="E77" s="14">
        <v>2</v>
      </c>
      <c r="F77" s="25" t="s">
        <v>481</v>
      </c>
      <c r="G77" s="26" t="s">
        <v>486</v>
      </c>
      <c r="H77" s="26" t="s">
        <v>480</v>
      </c>
      <c r="I77" s="27" t="s">
        <v>475</v>
      </c>
      <c r="J77" s="33" t="str">
        <f t="shared" si="2"/>
        <v>E02 -F08 -PB -B02</v>
      </c>
      <c r="K77" s="12" t="s">
        <v>12</v>
      </c>
    </row>
    <row r="78" spans="1:11" x14ac:dyDescent="0.25">
      <c r="A78">
        <f t="shared" si="3"/>
        <v>70</v>
      </c>
      <c r="B78" s="31" t="s">
        <v>468</v>
      </c>
      <c r="C78" s="13" t="s">
        <v>150</v>
      </c>
      <c r="D78" s="14" t="s">
        <v>151</v>
      </c>
      <c r="E78" s="14">
        <v>3</v>
      </c>
      <c r="F78" s="25" t="s">
        <v>479</v>
      </c>
      <c r="G78" s="26" t="s">
        <v>483</v>
      </c>
      <c r="H78" s="26" t="s">
        <v>482</v>
      </c>
      <c r="I78" s="27" t="s">
        <v>487</v>
      </c>
      <c r="J78" s="33" t="str">
        <f t="shared" si="2"/>
        <v>E01 -F06 -PA -B03</v>
      </c>
      <c r="K78" s="12" t="s">
        <v>465</v>
      </c>
    </row>
    <row r="79" spans="1:11" x14ac:dyDescent="0.25">
      <c r="A79">
        <f t="shared" si="3"/>
        <v>71</v>
      </c>
      <c r="B79" s="31" t="s">
        <v>468</v>
      </c>
      <c r="C79" s="13" t="s">
        <v>153</v>
      </c>
      <c r="D79" s="14" t="s">
        <v>154</v>
      </c>
      <c r="E79" s="14">
        <v>11</v>
      </c>
      <c r="F79" s="25" t="s">
        <v>479</v>
      </c>
      <c r="G79" s="26" t="s">
        <v>483</v>
      </c>
      <c r="H79" s="26" t="s">
        <v>480</v>
      </c>
      <c r="I79" s="27" t="s">
        <v>487</v>
      </c>
      <c r="J79" s="33" t="str">
        <f t="shared" si="2"/>
        <v>E01 -F06 -PB -B03</v>
      </c>
      <c r="K79" s="12"/>
    </row>
    <row r="80" spans="1:11" x14ac:dyDescent="0.25">
      <c r="A80">
        <f t="shared" si="3"/>
        <v>72</v>
      </c>
      <c r="B80" s="31" t="s">
        <v>468</v>
      </c>
      <c r="C80" s="13" t="s">
        <v>155</v>
      </c>
      <c r="D80" s="14" t="s">
        <v>156</v>
      </c>
      <c r="E80" s="14">
        <v>6</v>
      </c>
      <c r="F80" s="25" t="s">
        <v>479</v>
      </c>
      <c r="G80" s="26" t="s">
        <v>483</v>
      </c>
      <c r="H80" s="26" t="s">
        <v>480</v>
      </c>
      <c r="I80" s="27" t="s">
        <v>475</v>
      </c>
      <c r="J80" s="33" t="str">
        <f t="shared" si="2"/>
        <v>E01 -F06 -PB -B02</v>
      </c>
      <c r="K80" s="12" t="s">
        <v>12</v>
      </c>
    </row>
    <row r="81" spans="1:11" x14ac:dyDescent="0.25">
      <c r="A81">
        <f t="shared" si="3"/>
        <v>73</v>
      </c>
      <c r="B81" s="31" t="s">
        <v>468</v>
      </c>
      <c r="C81" s="45" t="s">
        <v>502</v>
      </c>
      <c r="D81" s="46" t="s">
        <v>503</v>
      </c>
      <c r="E81" s="46">
        <v>6</v>
      </c>
      <c r="F81" s="25">
        <v>3</v>
      </c>
      <c r="G81" s="26">
        <v>6</v>
      </c>
      <c r="H81" s="26" t="s">
        <v>482</v>
      </c>
      <c r="I81" s="27">
        <v>2</v>
      </c>
      <c r="J81" s="33" t="str">
        <f t="shared" si="2"/>
        <v>E03-F06-PA -B02</v>
      </c>
      <c r="K81" s="12"/>
    </row>
    <row r="82" spans="1:11" x14ac:dyDescent="0.25">
      <c r="A82">
        <f t="shared" si="3"/>
        <v>74</v>
      </c>
      <c r="B82" s="31" t="s">
        <v>468</v>
      </c>
      <c r="C82" s="13" t="s">
        <v>157</v>
      </c>
      <c r="D82" s="14" t="s">
        <v>158</v>
      </c>
      <c r="E82" s="14">
        <v>4</v>
      </c>
      <c r="F82" s="25" t="s">
        <v>481</v>
      </c>
      <c r="G82" s="26" t="s">
        <v>476</v>
      </c>
      <c r="H82" s="26" t="s">
        <v>480</v>
      </c>
      <c r="I82" s="27" t="s">
        <v>478</v>
      </c>
      <c r="J82" s="33" t="str">
        <f t="shared" si="2"/>
        <v>E02 -F04 -PB -B01</v>
      </c>
      <c r="K82" s="12" t="s">
        <v>12</v>
      </c>
    </row>
    <row r="83" spans="1:11" x14ac:dyDescent="0.25">
      <c r="A83">
        <f t="shared" si="3"/>
        <v>75</v>
      </c>
      <c r="B83" s="31" t="s">
        <v>468</v>
      </c>
      <c r="C83" s="13" t="s">
        <v>159</v>
      </c>
      <c r="D83" s="14" t="s">
        <v>160</v>
      </c>
      <c r="E83" s="14">
        <v>6</v>
      </c>
      <c r="F83" s="25" t="s">
        <v>479</v>
      </c>
      <c r="G83" s="26" t="s">
        <v>483</v>
      </c>
      <c r="H83" s="26" t="s">
        <v>480</v>
      </c>
      <c r="I83" s="27" t="s">
        <v>484</v>
      </c>
      <c r="J83" s="33" t="str">
        <f t="shared" si="2"/>
        <v>E01 -F06 -PB -B04</v>
      </c>
      <c r="K83" s="12" t="s">
        <v>12</v>
      </c>
    </row>
    <row r="84" spans="1:11" x14ac:dyDescent="0.25">
      <c r="A84">
        <f t="shared" si="3"/>
        <v>76</v>
      </c>
      <c r="B84" s="31" t="s">
        <v>468</v>
      </c>
      <c r="C84" s="13" t="s">
        <v>161</v>
      </c>
      <c r="D84" s="14" t="s">
        <v>162</v>
      </c>
      <c r="E84" s="14">
        <v>10</v>
      </c>
      <c r="F84" s="25" t="s">
        <v>479</v>
      </c>
      <c r="G84" s="26" t="s">
        <v>483</v>
      </c>
      <c r="H84" s="26" t="s">
        <v>480</v>
      </c>
      <c r="I84" s="27" t="s">
        <v>484</v>
      </c>
      <c r="J84" s="33" t="str">
        <f t="shared" si="2"/>
        <v>E01 -F06 -PB -B04</v>
      </c>
      <c r="K84" s="12" t="s">
        <v>152</v>
      </c>
    </row>
    <row r="85" spans="1:11" x14ac:dyDescent="0.25">
      <c r="A85">
        <f t="shared" si="3"/>
        <v>77</v>
      </c>
      <c r="B85" s="31" t="s">
        <v>468</v>
      </c>
      <c r="C85" s="13" t="s">
        <v>163</v>
      </c>
      <c r="D85" s="14" t="s">
        <v>164</v>
      </c>
      <c r="E85" s="14">
        <v>5</v>
      </c>
      <c r="F85" s="25" t="s">
        <v>479</v>
      </c>
      <c r="G85" s="26" t="s">
        <v>486</v>
      </c>
      <c r="H85" s="26" t="s">
        <v>482</v>
      </c>
      <c r="I85" s="27" t="s">
        <v>487</v>
      </c>
      <c r="J85" s="33" t="str">
        <f t="shared" si="2"/>
        <v>E01 -F08 -PA -B03</v>
      </c>
      <c r="K85" s="12" t="s">
        <v>12</v>
      </c>
    </row>
    <row r="86" spans="1:11" x14ac:dyDescent="0.25">
      <c r="A86">
        <f t="shared" si="3"/>
        <v>78</v>
      </c>
      <c r="B86" s="31" t="s">
        <v>468</v>
      </c>
      <c r="C86" s="13" t="s">
        <v>165</v>
      </c>
      <c r="D86" s="14" t="s">
        <v>166</v>
      </c>
      <c r="E86" s="14">
        <v>5</v>
      </c>
      <c r="F86" s="25" t="s">
        <v>479</v>
      </c>
      <c r="G86" s="26" t="s">
        <v>488</v>
      </c>
      <c r="H86" s="26" t="s">
        <v>482</v>
      </c>
      <c r="I86" s="27" t="s">
        <v>475</v>
      </c>
      <c r="J86" s="33" t="str">
        <f t="shared" si="2"/>
        <v>E01 -F07 -PA -B02</v>
      </c>
      <c r="K86" s="12" t="s">
        <v>12</v>
      </c>
    </row>
    <row r="87" spans="1:11" x14ac:dyDescent="0.25">
      <c r="A87">
        <f t="shared" si="3"/>
        <v>79</v>
      </c>
      <c r="B87" s="31" t="s">
        <v>468</v>
      </c>
      <c r="C87" s="13" t="s">
        <v>167</v>
      </c>
      <c r="D87" s="14" t="s">
        <v>168</v>
      </c>
      <c r="E87" s="14">
        <v>10</v>
      </c>
      <c r="F87" s="25" t="s">
        <v>481</v>
      </c>
      <c r="G87" s="26" t="s">
        <v>485</v>
      </c>
      <c r="H87" s="26" t="s">
        <v>480</v>
      </c>
      <c r="I87" s="27" t="s">
        <v>478</v>
      </c>
      <c r="J87" s="33" t="str">
        <f t="shared" si="2"/>
        <v>E02 -F03 -PB -B01</v>
      </c>
      <c r="K87" s="12" t="s">
        <v>12</v>
      </c>
    </row>
    <row r="88" spans="1:11" x14ac:dyDescent="0.25">
      <c r="A88">
        <f t="shared" si="3"/>
        <v>80</v>
      </c>
      <c r="B88" s="31" t="s">
        <v>468</v>
      </c>
      <c r="C88" s="13" t="s">
        <v>169</v>
      </c>
      <c r="D88" s="14" t="s">
        <v>170</v>
      </c>
      <c r="E88" s="14">
        <v>10</v>
      </c>
      <c r="F88" s="25" t="s">
        <v>481</v>
      </c>
      <c r="G88" s="26" t="s">
        <v>485</v>
      </c>
      <c r="H88" s="26" t="s">
        <v>480</v>
      </c>
      <c r="I88" s="27" t="s">
        <v>475</v>
      </c>
      <c r="J88" s="33" t="str">
        <f t="shared" si="2"/>
        <v>E02 -F03 -PB -B02</v>
      </c>
      <c r="K88" s="12" t="s">
        <v>12</v>
      </c>
    </row>
    <row r="89" spans="1:11" x14ac:dyDescent="0.25">
      <c r="A89">
        <f t="shared" si="3"/>
        <v>81</v>
      </c>
      <c r="B89" s="31" t="s">
        <v>468</v>
      </c>
      <c r="C89" s="13" t="s">
        <v>171</v>
      </c>
      <c r="D89" s="14" t="s">
        <v>172</v>
      </c>
      <c r="E89" s="14">
        <v>10</v>
      </c>
      <c r="F89" s="25" t="s">
        <v>481</v>
      </c>
      <c r="G89" s="26" t="s">
        <v>486</v>
      </c>
      <c r="H89" s="26" t="s">
        <v>480</v>
      </c>
      <c r="I89" s="27" t="s">
        <v>487</v>
      </c>
      <c r="J89" s="33" t="str">
        <f t="shared" si="2"/>
        <v>E02 -F08 -PB -B03</v>
      </c>
      <c r="K89" s="12" t="s">
        <v>173</v>
      </c>
    </row>
    <row r="90" spans="1:11" x14ac:dyDescent="0.25">
      <c r="A90">
        <f t="shared" si="3"/>
        <v>82</v>
      </c>
      <c r="B90" s="31" t="s">
        <v>468</v>
      </c>
      <c r="C90" s="13" t="s">
        <v>174</v>
      </c>
      <c r="D90" s="14" t="s">
        <v>175</v>
      </c>
      <c r="E90" s="14">
        <v>4</v>
      </c>
      <c r="F90" s="25" t="s">
        <v>481</v>
      </c>
      <c r="G90" s="26" t="s">
        <v>486</v>
      </c>
      <c r="H90" s="26" t="s">
        <v>480</v>
      </c>
      <c r="I90" s="27" t="s">
        <v>484</v>
      </c>
      <c r="J90" s="33" t="str">
        <f t="shared" si="2"/>
        <v>E02 -F08 -PB -B04</v>
      </c>
      <c r="K90" s="12" t="s">
        <v>12</v>
      </c>
    </row>
    <row r="91" spans="1:11" x14ac:dyDescent="0.25">
      <c r="A91">
        <f t="shared" si="3"/>
        <v>83</v>
      </c>
      <c r="B91" s="31" t="s">
        <v>468</v>
      </c>
      <c r="C91" s="13" t="s">
        <v>176</v>
      </c>
      <c r="D91" s="14" t="s">
        <v>177</v>
      </c>
      <c r="E91" s="14">
        <v>2</v>
      </c>
      <c r="F91" s="25" t="s">
        <v>481</v>
      </c>
      <c r="G91" s="26" t="s">
        <v>483</v>
      </c>
      <c r="H91" s="26" t="s">
        <v>480</v>
      </c>
      <c r="I91" s="27" t="s">
        <v>478</v>
      </c>
      <c r="J91" s="33" t="str">
        <f t="shared" si="2"/>
        <v>E02 -F06 -PB -B01</v>
      </c>
      <c r="K91" s="12"/>
    </row>
    <row r="92" spans="1:11" x14ac:dyDescent="0.25">
      <c r="A92">
        <f t="shared" si="3"/>
        <v>84</v>
      </c>
      <c r="B92" s="31" t="s">
        <v>468</v>
      </c>
      <c r="C92" s="13" t="s">
        <v>178</v>
      </c>
      <c r="D92" s="14" t="s">
        <v>179</v>
      </c>
      <c r="E92" s="14">
        <v>401</v>
      </c>
      <c r="F92" s="25" t="s">
        <v>479</v>
      </c>
      <c r="G92" s="26" t="s">
        <v>488</v>
      </c>
      <c r="H92" s="26" t="s">
        <v>482</v>
      </c>
      <c r="I92" s="27" t="s">
        <v>484</v>
      </c>
      <c r="J92" s="33" t="str">
        <f t="shared" si="2"/>
        <v>E01 -F07 -PA -B04</v>
      </c>
      <c r="K92" s="12" t="s">
        <v>12</v>
      </c>
    </row>
    <row r="93" spans="1:11" x14ac:dyDescent="0.25">
      <c r="A93">
        <f t="shared" si="3"/>
        <v>85</v>
      </c>
      <c r="B93" s="31" t="s">
        <v>468</v>
      </c>
      <c r="C93" s="13" t="s">
        <v>180</v>
      </c>
      <c r="D93" s="14" t="s">
        <v>181</v>
      </c>
      <c r="E93" s="14">
        <v>8</v>
      </c>
      <c r="F93" s="25" t="s">
        <v>481</v>
      </c>
      <c r="G93" s="26" t="s">
        <v>483</v>
      </c>
      <c r="H93" s="26" t="s">
        <v>480</v>
      </c>
      <c r="I93" s="27" t="s">
        <v>475</v>
      </c>
      <c r="J93" s="33" t="str">
        <f t="shared" si="2"/>
        <v>E02 -F06 -PB -B02</v>
      </c>
      <c r="K93" s="12" t="s">
        <v>12</v>
      </c>
    </row>
    <row r="94" spans="1:11" x14ac:dyDescent="0.25">
      <c r="A94">
        <f t="shared" si="3"/>
        <v>86</v>
      </c>
      <c r="B94" s="31" t="s">
        <v>468</v>
      </c>
      <c r="C94" s="13" t="s">
        <v>182</v>
      </c>
      <c r="D94" s="14" t="s">
        <v>183</v>
      </c>
      <c r="E94" s="14">
        <v>4</v>
      </c>
      <c r="F94" s="25" t="s">
        <v>481</v>
      </c>
      <c r="G94" s="26" t="s">
        <v>483</v>
      </c>
      <c r="H94" s="26" t="s">
        <v>480</v>
      </c>
      <c r="I94" s="27" t="s">
        <v>487</v>
      </c>
      <c r="J94" s="33" t="str">
        <f t="shared" si="2"/>
        <v>E02 -F06 -PB -B03</v>
      </c>
      <c r="K94" s="12" t="s">
        <v>12</v>
      </c>
    </row>
    <row r="95" spans="1:11" x14ac:dyDescent="0.25">
      <c r="A95">
        <f t="shared" si="3"/>
        <v>87</v>
      </c>
      <c r="B95" s="31" t="s">
        <v>468</v>
      </c>
      <c r="C95" s="13" t="s">
        <v>184</v>
      </c>
      <c r="D95" s="14" t="s">
        <v>185</v>
      </c>
      <c r="E95" s="14">
        <v>2</v>
      </c>
      <c r="F95" s="25" t="s">
        <v>476</v>
      </c>
      <c r="G95" s="26" t="s">
        <v>474</v>
      </c>
      <c r="H95" s="26"/>
      <c r="I95" s="27" t="s">
        <v>478</v>
      </c>
      <c r="J95" s="33" t="str">
        <f t="shared" si="2"/>
        <v>E04 -F05 -B01</v>
      </c>
      <c r="K95" s="12" t="s">
        <v>12</v>
      </c>
    </row>
    <row r="96" spans="1:11" x14ac:dyDescent="0.25">
      <c r="A96">
        <f t="shared" si="3"/>
        <v>88</v>
      </c>
      <c r="B96" s="31" t="s">
        <v>468</v>
      </c>
      <c r="C96" s="13" t="s">
        <v>186</v>
      </c>
      <c r="D96" s="14" t="s">
        <v>187</v>
      </c>
      <c r="E96" s="14">
        <v>5</v>
      </c>
      <c r="F96" s="25" t="s">
        <v>476</v>
      </c>
      <c r="G96" s="26" t="s">
        <v>476</v>
      </c>
      <c r="H96" s="26"/>
      <c r="I96" s="27" t="s">
        <v>478</v>
      </c>
      <c r="J96" s="33" t="str">
        <f t="shared" si="2"/>
        <v>E04 -F04 -B01</v>
      </c>
      <c r="K96" s="12" t="s">
        <v>12</v>
      </c>
    </row>
    <row r="97" spans="1:11" x14ac:dyDescent="0.25">
      <c r="A97">
        <f t="shared" si="3"/>
        <v>89</v>
      </c>
      <c r="B97" s="31" t="s">
        <v>468</v>
      </c>
      <c r="C97" s="13" t="s">
        <v>188</v>
      </c>
      <c r="D97" s="14" t="s">
        <v>189</v>
      </c>
      <c r="E97" s="14">
        <v>8</v>
      </c>
      <c r="F97" s="25" t="s">
        <v>481</v>
      </c>
      <c r="G97" s="26" t="s">
        <v>476</v>
      </c>
      <c r="H97" s="26" t="s">
        <v>482</v>
      </c>
      <c r="I97" s="27" t="s">
        <v>475</v>
      </c>
      <c r="J97" s="33" t="str">
        <f t="shared" si="2"/>
        <v>E02 -F04 -PA -B02</v>
      </c>
      <c r="K97" s="12" t="s">
        <v>12</v>
      </c>
    </row>
    <row r="98" spans="1:11" x14ac:dyDescent="0.25">
      <c r="A98">
        <f t="shared" si="3"/>
        <v>90</v>
      </c>
      <c r="B98" s="31" t="s">
        <v>468</v>
      </c>
      <c r="C98" s="13" t="s">
        <v>190</v>
      </c>
      <c r="D98" s="14" t="s">
        <v>191</v>
      </c>
      <c r="E98" s="14">
        <v>0</v>
      </c>
      <c r="F98" s="25" t="s">
        <v>481</v>
      </c>
      <c r="G98" s="26" t="s">
        <v>476</v>
      </c>
      <c r="H98" s="26" t="s">
        <v>482</v>
      </c>
      <c r="I98" s="27" t="s">
        <v>484</v>
      </c>
      <c r="J98" s="33" t="str">
        <f t="shared" si="2"/>
        <v>E02 -F04 -PA -B04</v>
      </c>
      <c r="K98" s="12" t="s">
        <v>192</v>
      </c>
    </row>
    <row r="99" spans="1:11" x14ac:dyDescent="0.25">
      <c r="A99">
        <f t="shared" si="3"/>
        <v>91</v>
      </c>
      <c r="B99" s="31" t="s">
        <v>468</v>
      </c>
      <c r="C99" s="13" t="s">
        <v>193</v>
      </c>
      <c r="D99" s="14" t="s">
        <v>194</v>
      </c>
      <c r="E99" s="14">
        <v>3</v>
      </c>
      <c r="F99" s="25" t="s">
        <v>476</v>
      </c>
      <c r="G99" s="26" t="s">
        <v>485</v>
      </c>
      <c r="H99" s="26"/>
      <c r="I99" s="27" t="s">
        <v>475</v>
      </c>
      <c r="J99" s="33" t="str">
        <f t="shared" si="2"/>
        <v>E04 -F03 -B02</v>
      </c>
      <c r="K99" s="12" t="s">
        <v>195</v>
      </c>
    </row>
    <row r="100" spans="1:11" x14ac:dyDescent="0.25">
      <c r="A100">
        <f t="shared" si="3"/>
        <v>92</v>
      </c>
      <c r="B100" s="31" t="s">
        <v>468</v>
      </c>
      <c r="C100" s="13" t="s">
        <v>196</v>
      </c>
      <c r="D100" s="14" t="s">
        <v>197</v>
      </c>
      <c r="E100" s="14">
        <v>6</v>
      </c>
      <c r="F100" s="25" t="s">
        <v>476</v>
      </c>
      <c r="G100" s="26" t="s">
        <v>474</v>
      </c>
      <c r="H100" s="26"/>
      <c r="I100" s="27" t="s">
        <v>475</v>
      </c>
      <c r="J100" s="33" t="str">
        <f t="shared" si="2"/>
        <v>E04 -F05 -B02</v>
      </c>
      <c r="K100" s="12" t="s">
        <v>12</v>
      </c>
    </row>
    <row r="101" spans="1:11" x14ac:dyDescent="0.25">
      <c r="A101">
        <f t="shared" si="3"/>
        <v>93</v>
      </c>
      <c r="B101" s="31" t="s">
        <v>468</v>
      </c>
      <c r="C101" s="13" t="s">
        <v>198</v>
      </c>
      <c r="D101" s="14" t="s">
        <v>199</v>
      </c>
      <c r="E101" s="14">
        <v>6</v>
      </c>
      <c r="F101" s="25" t="s">
        <v>481</v>
      </c>
      <c r="G101" s="26" t="s">
        <v>476</v>
      </c>
      <c r="H101" s="26" t="s">
        <v>482</v>
      </c>
      <c r="I101" s="27" t="s">
        <v>487</v>
      </c>
      <c r="J101" s="33" t="str">
        <f t="shared" si="2"/>
        <v>E02 -F04 -PA -B03</v>
      </c>
      <c r="K101" s="12" t="s">
        <v>200</v>
      </c>
    </row>
    <row r="102" spans="1:11" x14ac:dyDescent="0.25">
      <c r="A102">
        <f t="shared" si="3"/>
        <v>94</v>
      </c>
      <c r="B102" s="31" t="s">
        <v>468</v>
      </c>
      <c r="C102" s="13" t="s">
        <v>201</v>
      </c>
      <c r="D102" s="14" t="s">
        <v>202</v>
      </c>
      <c r="E102" s="14">
        <v>12</v>
      </c>
      <c r="F102" s="25" t="s">
        <v>476</v>
      </c>
      <c r="G102" s="26" t="s">
        <v>485</v>
      </c>
      <c r="H102" s="26"/>
      <c r="I102" s="27" t="s">
        <v>484</v>
      </c>
      <c r="J102" s="33" t="str">
        <f t="shared" si="2"/>
        <v>E04 -F03 -B04</v>
      </c>
      <c r="K102" s="12" t="s">
        <v>12</v>
      </c>
    </row>
    <row r="103" spans="1:11" x14ac:dyDescent="0.25">
      <c r="A103">
        <f t="shared" si="3"/>
        <v>95</v>
      </c>
      <c r="B103" s="31" t="s">
        <v>468</v>
      </c>
      <c r="C103" s="13" t="s">
        <v>203</v>
      </c>
      <c r="D103" s="14" t="s">
        <v>204</v>
      </c>
      <c r="E103" s="14">
        <v>17</v>
      </c>
      <c r="F103" s="25" t="s">
        <v>476</v>
      </c>
      <c r="G103" s="26" t="s">
        <v>485</v>
      </c>
      <c r="H103" s="26"/>
      <c r="I103" s="27" t="s">
        <v>478</v>
      </c>
      <c r="J103" s="33" t="str">
        <f t="shared" si="2"/>
        <v>E04 -F03 -B01</v>
      </c>
      <c r="K103" s="12" t="s">
        <v>491</v>
      </c>
    </row>
    <row r="104" spans="1:11" x14ac:dyDescent="0.25">
      <c r="A104">
        <f t="shared" si="3"/>
        <v>96</v>
      </c>
      <c r="B104" s="31" t="s">
        <v>468</v>
      </c>
      <c r="C104" s="13" t="s">
        <v>205</v>
      </c>
      <c r="D104" s="14" t="s">
        <v>187</v>
      </c>
      <c r="E104" s="14">
        <v>5</v>
      </c>
      <c r="F104" s="25" t="s">
        <v>476</v>
      </c>
      <c r="G104" s="26" t="s">
        <v>474</v>
      </c>
      <c r="H104" s="26"/>
      <c r="I104" s="27" t="s">
        <v>487</v>
      </c>
      <c r="J104" s="33" t="str">
        <f t="shared" si="2"/>
        <v>E04 -F05 -B03</v>
      </c>
      <c r="K104" s="12"/>
    </row>
    <row r="105" spans="1:11" x14ac:dyDescent="0.25">
      <c r="A105">
        <f t="shared" si="3"/>
        <v>97</v>
      </c>
      <c r="B105" s="31" t="s">
        <v>468</v>
      </c>
      <c r="C105" s="13" t="s">
        <v>206</v>
      </c>
      <c r="D105" s="14" t="s">
        <v>207</v>
      </c>
      <c r="E105" s="14">
        <v>14</v>
      </c>
      <c r="F105" s="25" t="s">
        <v>476</v>
      </c>
      <c r="G105" s="26" t="s">
        <v>485</v>
      </c>
      <c r="H105" s="26"/>
      <c r="I105" s="27" t="s">
        <v>487</v>
      </c>
      <c r="J105" s="33" t="str">
        <f t="shared" si="2"/>
        <v>E04 -F03 -B03</v>
      </c>
      <c r="K105" s="12" t="s">
        <v>12</v>
      </c>
    </row>
    <row r="106" spans="1:11" x14ac:dyDescent="0.25">
      <c r="A106">
        <f t="shared" si="3"/>
        <v>98</v>
      </c>
      <c r="B106" s="31" t="s">
        <v>468</v>
      </c>
      <c r="C106" s="13" t="s">
        <v>208</v>
      </c>
      <c r="D106" s="14" t="s">
        <v>209</v>
      </c>
      <c r="E106" s="14">
        <v>12</v>
      </c>
      <c r="F106" s="25" t="s">
        <v>476</v>
      </c>
      <c r="G106" s="26" t="s">
        <v>476</v>
      </c>
      <c r="H106" s="26"/>
      <c r="I106" s="27" t="s">
        <v>475</v>
      </c>
      <c r="J106" s="33" t="str">
        <f t="shared" si="2"/>
        <v>E04 -F04 -B02</v>
      </c>
      <c r="K106" s="12"/>
    </row>
    <row r="107" spans="1:11" x14ac:dyDescent="0.25">
      <c r="A107">
        <f t="shared" si="3"/>
        <v>99</v>
      </c>
      <c r="B107" s="31" t="s">
        <v>468</v>
      </c>
      <c r="C107" s="13" t="s">
        <v>210</v>
      </c>
      <c r="D107" s="14" t="s">
        <v>211</v>
      </c>
      <c r="E107" s="14">
        <v>5</v>
      </c>
      <c r="F107" s="25" t="s">
        <v>476</v>
      </c>
      <c r="G107" s="26" t="s">
        <v>476</v>
      </c>
      <c r="H107" s="26"/>
      <c r="I107" s="27" t="s">
        <v>487</v>
      </c>
      <c r="J107" s="33" t="str">
        <f t="shared" si="2"/>
        <v>E04 -F04 -B03</v>
      </c>
      <c r="K107" s="12" t="s">
        <v>12</v>
      </c>
    </row>
    <row r="108" spans="1:11" x14ac:dyDescent="0.25">
      <c r="A108">
        <f t="shared" si="3"/>
        <v>100</v>
      </c>
      <c r="B108" s="31" t="s">
        <v>468</v>
      </c>
      <c r="C108" s="13" t="s">
        <v>212</v>
      </c>
      <c r="D108" s="14" t="s">
        <v>213</v>
      </c>
      <c r="E108" s="14">
        <v>6</v>
      </c>
      <c r="F108" s="25" t="s">
        <v>474</v>
      </c>
      <c r="G108" s="26" t="s">
        <v>485</v>
      </c>
      <c r="H108" s="26"/>
      <c r="I108" s="27" t="s">
        <v>487</v>
      </c>
      <c r="J108" s="33" t="str">
        <f t="shared" si="2"/>
        <v>E05 -F03 -B03</v>
      </c>
      <c r="K108" s="12"/>
    </row>
    <row r="109" spans="1:11" x14ac:dyDescent="0.25">
      <c r="A109">
        <f t="shared" si="3"/>
        <v>101</v>
      </c>
      <c r="B109" s="31" t="s">
        <v>468</v>
      </c>
      <c r="C109" s="13" t="s">
        <v>214</v>
      </c>
      <c r="D109" s="14" t="s">
        <v>215</v>
      </c>
      <c r="E109" s="14">
        <v>54</v>
      </c>
      <c r="F109" s="25" t="s">
        <v>476</v>
      </c>
      <c r="G109" s="26" t="s">
        <v>476</v>
      </c>
      <c r="H109" s="26"/>
      <c r="I109" s="27" t="s">
        <v>484</v>
      </c>
      <c r="J109" s="33" t="str">
        <f t="shared" si="2"/>
        <v>E04 -F04 -B04</v>
      </c>
      <c r="K109" s="12" t="s">
        <v>12</v>
      </c>
    </row>
    <row r="110" spans="1:11" x14ac:dyDescent="0.25">
      <c r="A110">
        <f t="shared" si="3"/>
        <v>102</v>
      </c>
      <c r="B110" s="31" t="s">
        <v>468</v>
      </c>
      <c r="C110" s="13" t="s">
        <v>216</v>
      </c>
      <c r="D110" s="14" t="s">
        <v>217</v>
      </c>
      <c r="E110" s="14">
        <v>7</v>
      </c>
      <c r="F110" s="25" t="s">
        <v>476</v>
      </c>
      <c r="G110" s="26" t="s">
        <v>474</v>
      </c>
      <c r="H110" s="26"/>
      <c r="I110" s="27" t="s">
        <v>484</v>
      </c>
      <c r="J110" s="33" t="str">
        <f t="shared" si="2"/>
        <v>E04 -F05 -B04</v>
      </c>
      <c r="K110" s="12" t="s">
        <v>12</v>
      </c>
    </row>
    <row r="111" spans="1:11" x14ac:dyDescent="0.25">
      <c r="A111">
        <f t="shared" si="3"/>
        <v>103</v>
      </c>
      <c r="B111" s="31" t="s">
        <v>468</v>
      </c>
      <c r="C111" s="13" t="s">
        <v>218</v>
      </c>
      <c r="D111" s="14" t="s">
        <v>219</v>
      </c>
      <c r="E111" s="32">
        <v>0</v>
      </c>
      <c r="F111" s="25" t="s">
        <v>485</v>
      </c>
      <c r="G111" s="26" t="s">
        <v>474</v>
      </c>
      <c r="H111" s="26" t="s">
        <v>482</v>
      </c>
      <c r="I111" s="27" t="s">
        <v>478</v>
      </c>
      <c r="J111" s="33" t="str">
        <f t="shared" si="2"/>
        <v>E03 -F05 -PA -B01</v>
      </c>
      <c r="K111" s="12" t="s">
        <v>465</v>
      </c>
    </row>
    <row r="112" spans="1:11" x14ac:dyDescent="0.25">
      <c r="A112">
        <f t="shared" si="3"/>
        <v>104</v>
      </c>
      <c r="B112" s="31" t="s">
        <v>468</v>
      </c>
      <c r="C112" s="13" t="s">
        <v>220</v>
      </c>
      <c r="D112" s="14" t="s">
        <v>221</v>
      </c>
      <c r="E112" s="14" t="s">
        <v>528</v>
      </c>
      <c r="F112" s="25" t="s">
        <v>481</v>
      </c>
      <c r="G112" s="26" t="s">
        <v>479</v>
      </c>
      <c r="H112" s="26" t="s">
        <v>480</v>
      </c>
      <c r="I112" s="27" t="s">
        <v>484</v>
      </c>
      <c r="J112" s="33" t="str">
        <f t="shared" si="2"/>
        <v>E02 -F01 -PB -B04</v>
      </c>
      <c r="K112" s="12" t="s">
        <v>12</v>
      </c>
    </row>
    <row r="113" spans="1:11" x14ac:dyDescent="0.25">
      <c r="A113">
        <f t="shared" si="3"/>
        <v>105</v>
      </c>
      <c r="B113" s="31" t="s">
        <v>468</v>
      </c>
      <c r="C113" s="13" t="s">
        <v>222</v>
      </c>
      <c r="D113" s="14" t="s">
        <v>58</v>
      </c>
      <c r="E113" s="14">
        <v>3</v>
      </c>
      <c r="F113" s="25" t="s">
        <v>481</v>
      </c>
      <c r="G113" s="26" t="s">
        <v>479</v>
      </c>
      <c r="H113" s="26" t="s">
        <v>480</v>
      </c>
      <c r="I113" s="27" t="s">
        <v>478</v>
      </c>
      <c r="J113" s="33" t="str">
        <f t="shared" si="2"/>
        <v>E02 -F01 -PB -B01</v>
      </c>
      <c r="K113" s="12" t="s">
        <v>492</v>
      </c>
    </row>
    <row r="114" spans="1:11" x14ac:dyDescent="0.25">
      <c r="A114">
        <f t="shared" si="3"/>
        <v>106</v>
      </c>
      <c r="B114" s="31" t="s">
        <v>468</v>
      </c>
      <c r="C114" s="13" t="s">
        <v>223</v>
      </c>
      <c r="D114" s="14" t="s">
        <v>224</v>
      </c>
      <c r="E114" s="14">
        <v>17</v>
      </c>
      <c r="F114" s="25" t="s">
        <v>481</v>
      </c>
      <c r="G114" s="26" t="s">
        <v>474</v>
      </c>
      <c r="H114" s="26" t="s">
        <v>482</v>
      </c>
      <c r="I114" s="27" t="s">
        <v>487</v>
      </c>
      <c r="J114" s="33" t="str">
        <f t="shared" si="2"/>
        <v>E02 -F05 -PA -B03</v>
      </c>
      <c r="K114" s="12" t="s">
        <v>12</v>
      </c>
    </row>
    <row r="115" spans="1:11" x14ac:dyDescent="0.25">
      <c r="A115">
        <f t="shared" si="3"/>
        <v>107</v>
      </c>
      <c r="B115" s="31" t="s">
        <v>468</v>
      </c>
      <c r="C115" s="13" t="s">
        <v>225</v>
      </c>
      <c r="D115" s="14" t="s">
        <v>226</v>
      </c>
      <c r="E115" s="14">
        <v>6</v>
      </c>
      <c r="F115" s="25" t="s">
        <v>481</v>
      </c>
      <c r="G115" s="26" t="s">
        <v>485</v>
      </c>
      <c r="H115" s="26" t="s">
        <v>482</v>
      </c>
      <c r="I115" s="27" t="s">
        <v>484</v>
      </c>
      <c r="J115" s="33" t="str">
        <f t="shared" si="2"/>
        <v>E02 -F03 -PA -B04</v>
      </c>
      <c r="K115" s="12" t="s">
        <v>493</v>
      </c>
    </row>
    <row r="116" spans="1:11" x14ac:dyDescent="0.25">
      <c r="A116">
        <f t="shared" si="3"/>
        <v>108</v>
      </c>
      <c r="B116" s="31" t="s">
        <v>468</v>
      </c>
      <c r="C116" s="13" t="s">
        <v>227</v>
      </c>
      <c r="D116" s="14" t="s">
        <v>228</v>
      </c>
      <c r="E116" s="14">
        <v>4</v>
      </c>
      <c r="F116" s="25" t="s">
        <v>485</v>
      </c>
      <c r="G116" s="26" t="s">
        <v>481</v>
      </c>
      <c r="H116" s="26" t="s">
        <v>480</v>
      </c>
      <c r="I116" s="27" t="s">
        <v>478</v>
      </c>
      <c r="J116" s="33" t="str">
        <f t="shared" si="2"/>
        <v>E03 -F02 -PB -B01</v>
      </c>
      <c r="K116" s="12" t="s">
        <v>12</v>
      </c>
    </row>
    <row r="117" spans="1:11" x14ac:dyDescent="0.25">
      <c r="A117">
        <f t="shared" si="3"/>
        <v>109</v>
      </c>
      <c r="B117" s="31" t="s">
        <v>468</v>
      </c>
      <c r="C117" s="13" t="s">
        <v>229</v>
      </c>
      <c r="D117" s="14" t="s">
        <v>230</v>
      </c>
      <c r="E117" s="14">
        <v>4</v>
      </c>
      <c r="F117" s="25" t="s">
        <v>485</v>
      </c>
      <c r="G117" s="26" t="s">
        <v>476</v>
      </c>
      <c r="H117" s="26" t="s">
        <v>482</v>
      </c>
      <c r="I117" s="27" t="s">
        <v>475</v>
      </c>
      <c r="J117" s="33" t="str">
        <f t="shared" si="2"/>
        <v>E03 -F04 -PA -B02</v>
      </c>
      <c r="K117" s="12"/>
    </row>
    <row r="118" spans="1:11" x14ac:dyDescent="0.25">
      <c r="A118">
        <f t="shared" si="3"/>
        <v>110</v>
      </c>
      <c r="B118" s="31" t="s">
        <v>468</v>
      </c>
      <c r="C118" s="13" t="s">
        <v>231</v>
      </c>
      <c r="D118" s="14" t="s">
        <v>232</v>
      </c>
      <c r="E118" s="14">
        <v>3</v>
      </c>
      <c r="F118" s="25" t="s">
        <v>474</v>
      </c>
      <c r="G118" s="26" t="s">
        <v>483</v>
      </c>
      <c r="H118" s="26"/>
      <c r="I118" s="27" t="s">
        <v>478</v>
      </c>
      <c r="J118" s="33" t="str">
        <f t="shared" si="2"/>
        <v>E05 -F06 -B01</v>
      </c>
      <c r="K118" s="12" t="s">
        <v>12</v>
      </c>
    </row>
    <row r="119" spans="1:11" x14ac:dyDescent="0.25">
      <c r="A119">
        <f t="shared" si="3"/>
        <v>111</v>
      </c>
      <c r="B119" s="31" t="s">
        <v>468</v>
      </c>
      <c r="C119" s="13" t="s">
        <v>233</v>
      </c>
      <c r="D119" s="14" t="s">
        <v>234</v>
      </c>
      <c r="E119" s="14">
        <v>11</v>
      </c>
      <c r="F119" s="25" t="s">
        <v>481</v>
      </c>
      <c r="G119" s="26" t="s">
        <v>474</v>
      </c>
      <c r="H119" s="26" t="s">
        <v>480</v>
      </c>
      <c r="I119" s="27" t="s">
        <v>478</v>
      </c>
      <c r="J119" s="33" t="str">
        <f t="shared" si="2"/>
        <v>E02 -F05 -PB -B01</v>
      </c>
      <c r="K119" s="12" t="s">
        <v>12</v>
      </c>
    </row>
    <row r="120" spans="1:11" x14ac:dyDescent="0.25">
      <c r="A120">
        <f t="shared" si="3"/>
        <v>112</v>
      </c>
      <c r="B120" s="31" t="s">
        <v>468</v>
      </c>
      <c r="C120" s="13" t="s">
        <v>235</v>
      </c>
      <c r="D120" s="14" t="s">
        <v>236</v>
      </c>
      <c r="E120" s="14">
        <v>1</v>
      </c>
      <c r="F120" s="25" t="s">
        <v>479</v>
      </c>
      <c r="G120" s="26" t="s">
        <v>476</v>
      </c>
      <c r="H120" s="26" t="s">
        <v>482</v>
      </c>
      <c r="I120" s="27" t="s">
        <v>487</v>
      </c>
      <c r="J120" s="33" t="str">
        <f t="shared" si="2"/>
        <v>E01 -F04 -PA -B03</v>
      </c>
      <c r="K120" s="12"/>
    </row>
    <row r="121" spans="1:11" x14ac:dyDescent="0.25">
      <c r="A121">
        <f t="shared" si="3"/>
        <v>113</v>
      </c>
      <c r="B121" s="31" t="s">
        <v>468</v>
      </c>
      <c r="C121" s="13" t="s">
        <v>237</v>
      </c>
      <c r="D121" s="14" t="s">
        <v>238</v>
      </c>
      <c r="E121" s="14">
        <v>3</v>
      </c>
      <c r="F121" s="25" t="s">
        <v>479</v>
      </c>
      <c r="G121" s="26" t="s">
        <v>485</v>
      </c>
      <c r="H121" s="26" t="s">
        <v>480</v>
      </c>
      <c r="I121" s="27" t="s">
        <v>478</v>
      </c>
      <c r="J121" s="33" t="str">
        <f t="shared" si="2"/>
        <v>E01 -F03 -PB -B01</v>
      </c>
      <c r="K121" s="12"/>
    </row>
    <row r="122" spans="1:11" x14ac:dyDescent="0.25">
      <c r="A122">
        <f t="shared" si="3"/>
        <v>114</v>
      </c>
      <c r="B122" s="31" t="s">
        <v>468</v>
      </c>
      <c r="C122" s="13" t="s">
        <v>239</v>
      </c>
      <c r="D122" s="14" t="s">
        <v>240</v>
      </c>
      <c r="E122" s="14">
        <v>6</v>
      </c>
      <c r="F122" s="25" t="s">
        <v>481</v>
      </c>
      <c r="G122" s="26" t="s">
        <v>474</v>
      </c>
      <c r="H122" s="26" t="s">
        <v>482</v>
      </c>
      <c r="I122" s="27" t="s">
        <v>478</v>
      </c>
      <c r="J122" s="33" t="str">
        <f t="shared" si="2"/>
        <v>E02 -F05 -PA -B01</v>
      </c>
      <c r="K122" s="12" t="s">
        <v>494</v>
      </c>
    </row>
    <row r="123" spans="1:11" x14ac:dyDescent="0.25">
      <c r="A123">
        <f t="shared" si="3"/>
        <v>115</v>
      </c>
      <c r="B123" s="31" t="s">
        <v>468</v>
      </c>
      <c r="C123" s="13" t="s">
        <v>241</v>
      </c>
      <c r="D123" s="14" t="s">
        <v>242</v>
      </c>
      <c r="E123" s="14">
        <v>3</v>
      </c>
      <c r="F123" s="25" t="s">
        <v>481</v>
      </c>
      <c r="G123" s="26" t="s">
        <v>479</v>
      </c>
      <c r="H123" s="26" t="s">
        <v>482</v>
      </c>
      <c r="I123" s="27" t="s">
        <v>478</v>
      </c>
      <c r="J123" s="33" t="str">
        <f t="shared" si="2"/>
        <v>E02 -F01 -PA -B01</v>
      </c>
      <c r="K123" s="12" t="s">
        <v>12</v>
      </c>
    </row>
    <row r="124" spans="1:11" x14ac:dyDescent="0.25">
      <c r="A124">
        <f t="shared" si="3"/>
        <v>116</v>
      </c>
      <c r="B124" s="31" t="s">
        <v>468</v>
      </c>
      <c r="C124" s="13" t="s">
        <v>243</v>
      </c>
      <c r="D124" s="14" t="s">
        <v>244</v>
      </c>
      <c r="E124" s="14">
        <v>2</v>
      </c>
      <c r="F124" s="25" t="s">
        <v>479</v>
      </c>
      <c r="G124" s="26" t="s">
        <v>476</v>
      </c>
      <c r="H124" s="26" t="s">
        <v>482</v>
      </c>
      <c r="I124" s="27" t="s">
        <v>484</v>
      </c>
      <c r="J124" s="33" t="str">
        <f t="shared" si="2"/>
        <v>E01 -F04 -PA -B04</v>
      </c>
      <c r="K124" s="12" t="s">
        <v>12</v>
      </c>
    </row>
    <row r="125" spans="1:11" x14ac:dyDescent="0.25">
      <c r="A125">
        <f t="shared" si="3"/>
        <v>117</v>
      </c>
      <c r="B125" s="31" t="s">
        <v>468</v>
      </c>
      <c r="C125" s="13" t="s">
        <v>245</v>
      </c>
      <c r="D125" s="14" t="s">
        <v>246</v>
      </c>
      <c r="E125" s="14">
        <v>3</v>
      </c>
      <c r="F125" s="25" t="s">
        <v>481</v>
      </c>
      <c r="G125" s="26" t="s">
        <v>488</v>
      </c>
      <c r="H125" s="26" t="s">
        <v>480</v>
      </c>
      <c r="I125" s="27" t="s">
        <v>484</v>
      </c>
      <c r="J125" s="33" t="str">
        <f t="shared" si="2"/>
        <v>E02 -F07 -PB -B04</v>
      </c>
      <c r="K125" s="12" t="s">
        <v>490</v>
      </c>
    </row>
    <row r="126" spans="1:11" x14ac:dyDescent="0.25">
      <c r="A126">
        <f t="shared" si="3"/>
        <v>118</v>
      </c>
      <c r="B126" s="31" t="s">
        <v>468</v>
      </c>
      <c r="C126" s="13" t="s">
        <v>247</v>
      </c>
      <c r="D126" s="14" t="s">
        <v>248</v>
      </c>
      <c r="E126" s="14">
        <v>1</v>
      </c>
      <c r="F126" s="25" t="s">
        <v>476</v>
      </c>
      <c r="G126" s="26" t="s">
        <v>479</v>
      </c>
      <c r="H126" s="26"/>
      <c r="I126" s="27" t="s">
        <v>487</v>
      </c>
      <c r="J126" s="33" t="str">
        <f t="shared" si="2"/>
        <v>E04 -F01 -B03</v>
      </c>
      <c r="K126" s="12"/>
    </row>
    <row r="127" spans="1:11" x14ac:dyDescent="0.25">
      <c r="A127">
        <f t="shared" si="3"/>
        <v>119</v>
      </c>
      <c r="B127" s="31" t="s">
        <v>468</v>
      </c>
      <c r="C127" s="13" t="s">
        <v>249</v>
      </c>
      <c r="D127" s="14" t="s">
        <v>250</v>
      </c>
      <c r="E127" s="14">
        <v>2</v>
      </c>
      <c r="F127" s="25" t="s">
        <v>479</v>
      </c>
      <c r="G127" s="26" t="s">
        <v>481</v>
      </c>
      <c r="H127" s="26" t="s">
        <v>482</v>
      </c>
      <c r="I127" s="27" t="s">
        <v>478</v>
      </c>
      <c r="J127" s="33" t="str">
        <f t="shared" si="2"/>
        <v>E01 -F02 -PA -B01</v>
      </c>
      <c r="K127" s="12" t="s">
        <v>12</v>
      </c>
    </row>
    <row r="128" spans="1:11" x14ac:dyDescent="0.25">
      <c r="A128">
        <f t="shared" si="3"/>
        <v>120</v>
      </c>
      <c r="B128" s="31" t="s">
        <v>468</v>
      </c>
      <c r="C128" s="13" t="s">
        <v>251</v>
      </c>
      <c r="D128" s="14" t="s">
        <v>252</v>
      </c>
      <c r="E128" s="14">
        <v>3</v>
      </c>
      <c r="F128" s="25" t="s">
        <v>479</v>
      </c>
      <c r="G128" s="26" t="s">
        <v>479</v>
      </c>
      <c r="H128" s="26" t="s">
        <v>480</v>
      </c>
      <c r="I128" s="27" t="s">
        <v>475</v>
      </c>
      <c r="J128" s="33" t="str">
        <f t="shared" si="2"/>
        <v>E01 -F01 -PB -B02</v>
      </c>
      <c r="K128" s="12" t="s">
        <v>12</v>
      </c>
    </row>
    <row r="129" spans="1:11" x14ac:dyDescent="0.25">
      <c r="A129">
        <f t="shared" si="3"/>
        <v>121</v>
      </c>
      <c r="B129" s="31" t="s">
        <v>468</v>
      </c>
      <c r="C129" s="13" t="s">
        <v>253</v>
      </c>
      <c r="D129" s="14" t="s">
        <v>254</v>
      </c>
      <c r="E129" s="14">
        <v>1</v>
      </c>
      <c r="F129" s="25" t="s">
        <v>476</v>
      </c>
      <c r="G129" s="26" t="s">
        <v>481</v>
      </c>
      <c r="H129" s="26"/>
      <c r="I129" s="27" t="s">
        <v>484</v>
      </c>
      <c r="J129" s="33" t="str">
        <f t="shared" si="2"/>
        <v>E04 -F02 -B04</v>
      </c>
      <c r="K129" s="12"/>
    </row>
    <row r="130" spans="1:11" x14ac:dyDescent="0.25">
      <c r="A130">
        <f t="shared" si="3"/>
        <v>122</v>
      </c>
      <c r="B130" s="31" t="s">
        <v>468</v>
      </c>
      <c r="C130" s="13" t="s">
        <v>255</v>
      </c>
      <c r="D130" s="14" t="s">
        <v>238</v>
      </c>
      <c r="E130" s="14">
        <v>13</v>
      </c>
      <c r="F130" s="25" t="s">
        <v>481</v>
      </c>
      <c r="G130" s="26" t="s">
        <v>479</v>
      </c>
      <c r="H130" s="26" t="s">
        <v>480</v>
      </c>
      <c r="I130" s="27" t="s">
        <v>487</v>
      </c>
      <c r="J130" s="33" t="str">
        <f t="shared" si="2"/>
        <v>E02 -F01 -PB -B03</v>
      </c>
      <c r="K130" s="12" t="s">
        <v>12</v>
      </c>
    </row>
    <row r="131" spans="1:11" x14ac:dyDescent="0.25">
      <c r="A131">
        <f t="shared" si="3"/>
        <v>123</v>
      </c>
      <c r="B131" s="31" t="s">
        <v>468</v>
      </c>
      <c r="C131" s="13" t="s">
        <v>256</v>
      </c>
      <c r="D131" s="14" t="s">
        <v>257</v>
      </c>
      <c r="E131" s="14">
        <v>1</v>
      </c>
      <c r="F131" s="25" t="s">
        <v>476</v>
      </c>
      <c r="G131" s="26" t="s">
        <v>479</v>
      </c>
      <c r="H131" s="26"/>
      <c r="I131" s="27" t="s">
        <v>478</v>
      </c>
      <c r="J131" s="33" t="str">
        <f t="shared" si="2"/>
        <v>E04 -F01 -B01</v>
      </c>
      <c r="K131" s="12"/>
    </row>
    <row r="132" spans="1:11" x14ac:dyDescent="0.25">
      <c r="A132">
        <f t="shared" si="3"/>
        <v>124</v>
      </c>
      <c r="B132" s="31" t="s">
        <v>468</v>
      </c>
      <c r="C132" s="13" t="s">
        <v>258</v>
      </c>
      <c r="D132" s="14" t="s">
        <v>259</v>
      </c>
      <c r="E132" s="14">
        <v>14</v>
      </c>
      <c r="F132" s="25" t="s">
        <v>481</v>
      </c>
      <c r="G132" s="26" t="s">
        <v>474</v>
      </c>
      <c r="H132" s="26" t="s">
        <v>482</v>
      </c>
      <c r="I132" s="27" t="s">
        <v>475</v>
      </c>
      <c r="J132" s="33" t="str">
        <f t="shared" si="2"/>
        <v>E02 -F05 -PA -B02</v>
      </c>
      <c r="K132" s="12" t="s">
        <v>12</v>
      </c>
    </row>
    <row r="133" spans="1:11" x14ac:dyDescent="0.25">
      <c r="A133">
        <f t="shared" si="3"/>
        <v>125</v>
      </c>
      <c r="B133" s="31" t="s">
        <v>468</v>
      </c>
      <c r="C133" s="13" t="s">
        <v>260</v>
      </c>
      <c r="D133" s="14" t="s">
        <v>261</v>
      </c>
      <c r="E133" s="14">
        <v>1</v>
      </c>
      <c r="F133" s="25" t="s">
        <v>479</v>
      </c>
      <c r="G133" s="26" t="s">
        <v>481</v>
      </c>
      <c r="H133" s="26" t="s">
        <v>482</v>
      </c>
      <c r="I133" s="27" t="s">
        <v>475</v>
      </c>
      <c r="J133" s="33" t="str">
        <f t="shared" si="2"/>
        <v>E01 -F02 -PA -B02</v>
      </c>
      <c r="K133" s="12"/>
    </row>
    <row r="134" spans="1:11" x14ac:dyDescent="0.25">
      <c r="A134">
        <f t="shared" si="3"/>
        <v>126</v>
      </c>
      <c r="B134" s="31" t="s">
        <v>468</v>
      </c>
      <c r="C134" s="13" t="s">
        <v>262</v>
      </c>
      <c r="D134" s="14" t="s">
        <v>263</v>
      </c>
      <c r="E134" s="14">
        <v>2</v>
      </c>
      <c r="F134" s="25" t="s">
        <v>476</v>
      </c>
      <c r="G134" s="26" t="s">
        <v>479</v>
      </c>
      <c r="H134" s="26"/>
      <c r="I134" s="27" t="s">
        <v>475</v>
      </c>
      <c r="J134" s="33" t="str">
        <f t="shared" si="2"/>
        <v>E04 -F01 -B02</v>
      </c>
      <c r="K134" s="12" t="s">
        <v>12</v>
      </c>
    </row>
    <row r="135" spans="1:11" x14ac:dyDescent="0.25">
      <c r="A135">
        <f t="shared" si="3"/>
        <v>127</v>
      </c>
      <c r="B135" s="31" t="s">
        <v>468</v>
      </c>
      <c r="C135" s="13" t="s">
        <v>264</v>
      </c>
      <c r="D135" s="14" t="s">
        <v>265</v>
      </c>
      <c r="E135" s="14">
        <v>2</v>
      </c>
      <c r="F135" s="25" t="s">
        <v>479</v>
      </c>
      <c r="G135" s="26" t="s">
        <v>486</v>
      </c>
      <c r="H135" s="26" t="s">
        <v>480</v>
      </c>
      <c r="I135" s="27" t="s">
        <v>478</v>
      </c>
      <c r="J135" s="33" t="str">
        <f t="shared" si="2"/>
        <v>E01 -F08 -PB -B01</v>
      </c>
      <c r="K135" s="12" t="s">
        <v>12</v>
      </c>
    </row>
    <row r="136" spans="1:11" x14ac:dyDescent="0.25">
      <c r="A136">
        <f t="shared" si="3"/>
        <v>128</v>
      </c>
      <c r="B136" s="31" t="s">
        <v>468</v>
      </c>
      <c r="C136" s="13" t="s">
        <v>266</v>
      </c>
      <c r="D136" s="14" t="s">
        <v>267</v>
      </c>
      <c r="E136" s="14">
        <v>5</v>
      </c>
      <c r="F136" s="25" t="s">
        <v>479</v>
      </c>
      <c r="G136" s="26" t="s">
        <v>481</v>
      </c>
      <c r="H136" s="26" t="s">
        <v>480</v>
      </c>
      <c r="I136" s="27" t="s">
        <v>475</v>
      </c>
      <c r="J136" s="33" t="str">
        <f t="shared" si="2"/>
        <v>E01 -F02 -PB -B02</v>
      </c>
      <c r="K136" s="12" t="s">
        <v>12</v>
      </c>
    </row>
    <row r="137" spans="1:11" x14ac:dyDescent="0.25">
      <c r="A137">
        <f t="shared" si="3"/>
        <v>129</v>
      </c>
      <c r="B137" s="31" t="s">
        <v>468</v>
      </c>
      <c r="C137" s="13" t="s">
        <v>268</v>
      </c>
      <c r="D137" s="14" t="s">
        <v>269</v>
      </c>
      <c r="E137" s="14">
        <v>1</v>
      </c>
      <c r="F137" s="25" t="s">
        <v>485</v>
      </c>
      <c r="G137" s="26" t="s">
        <v>476</v>
      </c>
      <c r="H137" s="26" t="s">
        <v>482</v>
      </c>
      <c r="I137" s="27" t="s">
        <v>487</v>
      </c>
      <c r="J137" s="33" t="str">
        <f t="shared" si="2"/>
        <v>E03 -F04 -PA -B03</v>
      </c>
      <c r="K137" s="12"/>
    </row>
    <row r="138" spans="1:11" x14ac:dyDescent="0.25">
      <c r="A138">
        <f t="shared" si="3"/>
        <v>130</v>
      </c>
      <c r="B138" s="31" t="s">
        <v>468</v>
      </c>
      <c r="C138" s="13" t="s">
        <v>270</v>
      </c>
      <c r="D138" s="14" t="s">
        <v>271</v>
      </c>
      <c r="E138" s="14">
        <v>2</v>
      </c>
      <c r="F138" s="25" t="s">
        <v>479</v>
      </c>
      <c r="G138" s="26" t="s">
        <v>485</v>
      </c>
      <c r="H138" s="26" t="s">
        <v>482</v>
      </c>
      <c r="I138" s="27" t="s">
        <v>475</v>
      </c>
      <c r="J138" s="33" t="str">
        <f t="shared" ref="J138:J201" si="4">IF(F138="","",+"E0"&amp;F138)&amp;IF(G138="","",+"-F0"&amp;G138)&amp;IF(H138="","",+"-P"&amp;H138)&amp;IF(I138="","",+"-B0"&amp;I138)</f>
        <v>E01 -F03 -PA -B02</v>
      </c>
      <c r="K138" s="12" t="s">
        <v>12</v>
      </c>
    </row>
    <row r="139" spans="1:11" x14ac:dyDescent="0.25">
      <c r="A139">
        <f t="shared" ref="A139:A202" si="5">+A138+1</f>
        <v>131</v>
      </c>
      <c r="B139" s="31" t="s">
        <v>468</v>
      </c>
      <c r="C139" s="13" t="s">
        <v>272</v>
      </c>
      <c r="D139" s="14" t="s">
        <v>273</v>
      </c>
      <c r="E139" s="14">
        <v>2</v>
      </c>
      <c r="F139" s="25" t="s">
        <v>479</v>
      </c>
      <c r="G139" s="26" t="s">
        <v>485</v>
      </c>
      <c r="H139" s="26" t="s">
        <v>482</v>
      </c>
      <c r="I139" s="27" t="s">
        <v>478</v>
      </c>
      <c r="J139" s="33" t="str">
        <f t="shared" si="4"/>
        <v>E01 -F03 -PA -B01</v>
      </c>
      <c r="K139" s="12" t="s">
        <v>12</v>
      </c>
    </row>
    <row r="140" spans="1:11" x14ac:dyDescent="0.25">
      <c r="A140">
        <f t="shared" si="5"/>
        <v>132</v>
      </c>
      <c r="B140" s="31" t="s">
        <v>468</v>
      </c>
      <c r="C140" s="13" t="s">
        <v>274</v>
      </c>
      <c r="D140" s="14" t="s">
        <v>275</v>
      </c>
      <c r="E140" s="14">
        <v>2</v>
      </c>
      <c r="F140" s="25" t="s">
        <v>479</v>
      </c>
      <c r="G140" s="26" t="s">
        <v>488</v>
      </c>
      <c r="H140" s="26" t="s">
        <v>480</v>
      </c>
      <c r="I140" s="27" t="s">
        <v>484</v>
      </c>
      <c r="J140" s="33" t="str">
        <f t="shared" si="4"/>
        <v>E01 -F07 -PB -B04</v>
      </c>
      <c r="K140" s="12" t="s">
        <v>12</v>
      </c>
    </row>
    <row r="141" spans="1:11" x14ac:dyDescent="0.25">
      <c r="A141">
        <f t="shared" si="5"/>
        <v>133</v>
      </c>
      <c r="B141" s="31" t="s">
        <v>468</v>
      </c>
      <c r="C141" s="13" t="s">
        <v>276</v>
      </c>
      <c r="D141" s="14" t="s">
        <v>277</v>
      </c>
      <c r="E141" s="14">
        <v>4</v>
      </c>
      <c r="F141" s="25" t="s">
        <v>479</v>
      </c>
      <c r="G141" s="26" t="s">
        <v>481</v>
      </c>
      <c r="H141" s="26" t="s">
        <v>480</v>
      </c>
      <c r="I141" s="27" t="s">
        <v>478</v>
      </c>
      <c r="J141" s="33" t="str">
        <f t="shared" si="4"/>
        <v>E01 -F02 -PB -B01</v>
      </c>
      <c r="K141" s="12" t="s">
        <v>12</v>
      </c>
    </row>
    <row r="142" spans="1:11" x14ac:dyDescent="0.25">
      <c r="A142">
        <f t="shared" si="5"/>
        <v>134</v>
      </c>
      <c r="B142" s="31" t="s">
        <v>468</v>
      </c>
      <c r="C142" s="13" t="s">
        <v>278</v>
      </c>
      <c r="D142" s="14" t="s">
        <v>279</v>
      </c>
      <c r="E142" s="14">
        <v>3</v>
      </c>
      <c r="F142" s="25" t="s">
        <v>479</v>
      </c>
      <c r="G142" s="26" t="s">
        <v>481</v>
      </c>
      <c r="H142" s="26" t="s">
        <v>482</v>
      </c>
      <c r="I142" s="27" t="s">
        <v>487</v>
      </c>
      <c r="J142" s="33" t="str">
        <f t="shared" si="4"/>
        <v>E01 -F02 -PA -B03</v>
      </c>
      <c r="K142" s="12" t="s">
        <v>12</v>
      </c>
    </row>
    <row r="143" spans="1:11" x14ac:dyDescent="0.25">
      <c r="A143">
        <f t="shared" si="5"/>
        <v>135</v>
      </c>
      <c r="B143" s="31" t="s">
        <v>468</v>
      </c>
      <c r="C143" s="13" t="s">
        <v>280</v>
      </c>
      <c r="D143" s="14" t="s">
        <v>281</v>
      </c>
      <c r="E143" s="14">
        <v>7</v>
      </c>
      <c r="F143" s="25" t="s">
        <v>481</v>
      </c>
      <c r="G143" s="26" t="s">
        <v>479</v>
      </c>
      <c r="H143" s="26" t="s">
        <v>482</v>
      </c>
      <c r="I143" s="27" t="s">
        <v>475</v>
      </c>
      <c r="J143" s="33" t="str">
        <f t="shared" si="4"/>
        <v>E02 -F01 -PA -B02</v>
      </c>
      <c r="K143" s="12"/>
    </row>
    <row r="144" spans="1:11" x14ac:dyDescent="0.25">
      <c r="A144">
        <f t="shared" si="5"/>
        <v>136</v>
      </c>
      <c r="B144" s="31" t="s">
        <v>468</v>
      </c>
      <c r="C144" s="13" t="s">
        <v>282</v>
      </c>
      <c r="D144" s="14" t="s">
        <v>219</v>
      </c>
      <c r="E144" s="14">
        <v>6</v>
      </c>
      <c r="F144" s="25" t="s">
        <v>481</v>
      </c>
      <c r="G144" s="26" t="s">
        <v>483</v>
      </c>
      <c r="H144" s="26" t="s">
        <v>482</v>
      </c>
      <c r="I144" s="27" t="s">
        <v>475</v>
      </c>
      <c r="J144" s="33" t="str">
        <f t="shared" si="4"/>
        <v>E02 -F06 -PA -B02</v>
      </c>
      <c r="K144" s="12" t="s">
        <v>12</v>
      </c>
    </row>
    <row r="145" spans="1:11" x14ac:dyDescent="0.25">
      <c r="A145">
        <f t="shared" si="5"/>
        <v>137</v>
      </c>
      <c r="B145" s="31" t="s">
        <v>468</v>
      </c>
      <c r="C145" s="13" t="s">
        <v>283</v>
      </c>
      <c r="D145" s="14" t="s">
        <v>40</v>
      </c>
      <c r="E145" s="14">
        <v>4</v>
      </c>
      <c r="F145" s="25" t="s">
        <v>481</v>
      </c>
      <c r="G145" s="26" t="s">
        <v>481</v>
      </c>
      <c r="H145" s="26" t="s">
        <v>482</v>
      </c>
      <c r="I145" s="27" t="s">
        <v>484</v>
      </c>
      <c r="J145" s="33" t="str">
        <f t="shared" si="4"/>
        <v>E02 -F02 -PA -B04</v>
      </c>
      <c r="K145" s="12" t="s">
        <v>12</v>
      </c>
    </row>
    <row r="146" spans="1:11" x14ac:dyDescent="0.25">
      <c r="A146">
        <f t="shared" si="5"/>
        <v>138</v>
      </c>
      <c r="B146" s="31" t="s">
        <v>468</v>
      </c>
      <c r="C146" s="13" t="s">
        <v>284</v>
      </c>
      <c r="D146" s="14" t="s">
        <v>285</v>
      </c>
      <c r="E146" s="14">
        <v>4</v>
      </c>
      <c r="F146" s="25" t="s">
        <v>481</v>
      </c>
      <c r="G146" s="26" t="s">
        <v>481</v>
      </c>
      <c r="H146" s="26" t="s">
        <v>480</v>
      </c>
      <c r="I146" s="27" t="s">
        <v>487</v>
      </c>
      <c r="J146" s="33" t="str">
        <f t="shared" si="4"/>
        <v>E02 -F02 -PB -B03</v>
      </c>
      <c r="K146" s="12" t="s">
        <v>12</v>
      </c>
    </row>
    <row r="147" spans="1:11" x14ac:dyDescent="0.25">
      <c r="A147">
        <f t="shared" si="5"/>
        <v>139</v>
      </c>
      <c r="B147" s="31" t="s">
        <v>468</v>
      </c>
      <c r="C147" s="13" t="s">
        <v>286</v>
      </c>
      <c r="D147" s="14" t="s">
        <v>287</v>
      </c>
      <c r="E147" s="14">
        <v>4</v>
      </c>
      <c r="F147" s="25" t="s">
        <v>485</v>
      </c>
      <c r="G147" s="26" t="s">
        <v>481</v>
      </c>
      <c r="H147" s="26" t="s">
        <v>480</v>
      </c>
      <c r="I147" s="27" t="s">
        <v>475</v>
      </c>
      <c r="J147" s="33" t="str">
        <f t="shared" si="4"/>
        <v>E03 -F02 -PB -B02</v>
      </c>
      <c r="K147" s="12" t="s">
        <v>12</v>
      </c>
    </row>
    <row r="148" spans="1:11" x14ac:dyDescent="0.25">
      <c r="A148">
        <f t="shared" si="5"/>
        <v>140</v>
      </c>
      <c r="B148" s="31" t="s">
        <v>468</v>
      </c>
      <c r="C148" s="13" t="s">
        <v>288</v>
      </c>
      <c r="D148" s="14" t="s">
        <v>289</v>
      </c>
      <c r="E148" s="14">
        <v>8</v>
      </c>
      <c r="F148" s="25" t="s">
        <v>481</v>
      </c>
      <c r="G148" s="26" t="s">
        <v>479</v>
      </c>
      <c r="H148" s="26" t="s">
        <v>480</v>
      </c>
      <c r="I148" s="27" t="s">
        <v>475</v>
      </c>
      <c r="J148" s="33" t="str">
        <f t="shared" si="4"/>
        <v>E02 -F01 -PB -B02</v>
      </c>
      <c r="K148" s="12" t="s">
        <v>12</v>
      </c>
    </row>
    <row r="149" spans="1:11" x14ac:dyDescent="0.25">
      <c r="A149">
        <f t="shared" si="5"/>
        <v>141</v>
      </c>
      <c r="B149" s="31" t="s">
        <v>468</v>
      </c>
      <c r="C149" s="13" t="s">
        <v>290</v>
      </c>
      <c r="D149" s="14" t="s">
        <v>291</v>
      </c>
      <c r="E149" s="14">
        <v>12</v>
      </c>
      <c r="F149" s="25" t="s">
        <v>485</v>
      </c>
      <c r="G149" s="26" t="s">
        <v>474</v>
      </c>
      <c r="H149" s="26" t="s">
        <v>482</v>
      </c>
      <c r="I149" s="27" t="s">
        <v>487</v>
      </c>
      <c r="J149" s="33" t="str">
        <f t="shared" si="4"/>
        <v>E03 -F05 -PA -B03</v>
      </c>
      <c r="K149" s="12"/>
    </row>
    <row r="150" spans="1:11" x14ac:dyDescent="0.25">
      <c r="A150">
        <f t="shared" si="5"/>
        <v>142</v>
      </c>
      <c r="B150" s="31" t="s">
        <v>468</v>
      </c>
      <c r="C150" s="13" t="s">
        <v>292</v>
      </c>
      <c r="D150" s="14" t="s">
        <v>293</v>
      </c>
      <c r="E150" s="14">
        <v>7</v>
      </c>
      <c r="F150" s="25" t="s">
        <v>481</v>
      </c>
      <c r="G150" s="26" t="s">
        <v>488</v>
      </c>
      <c r="H150" s="26" t="s">
        <v>482</v>
      </c>
      <c r="I150" s="27" t="s">
        <v>487</v>
      </c>
      <c r="J150" s="33" t="str">
        <f t="shared" si="4"/>
        <v>E02 -F07 -PA -B03</v>
      </c>
      <c r="K150" s="12" t="s">
        <v>12</v>
      </c>
    </row>
    <row r="151" spans="1:11" x14ac:dyDescent="0.25">
      <c r="A151">
        <f t="shared" si="5"/>
        <v>143</v>
      </c>
      <c r="B151" s="31" t="s">
        <v>468</v>
      </c>
      <c r="C151" s="13" t="s">
        <v>294</v>
      </c>
      <c r="D151" s="14" t="s">
        <v>295</v>
      </c>
      <c r="E151" s="14">
        <v>3</v>
      </c>
      <c r="F151" s="25" t="s">
        <v>476</v>
      </c>
      <c r="G151" s="26" t="s">
        <v>481</v>
      </c>
      <c r="H151" s="26"/>
      <c r="I151" s="27" t="s">
        <v>478</v>
      </c>
      <c r="J151" s="33" t="str">
        <f t="shared" si="4"/>
        <v>E04 -F02 -B01</v>
      </c>
      <c r="K151" s="12" t="s">
        <v>12</v>
      </c>
    </row>
    <row r="152" spans="1:11" x14ac:dyDescent="0.25">
      <c r="A152">
        <f t="shared" si="5"/>
        <v>144</v>
      </c>
      <c r="B152" s="31" t="s">
        <v>468</v>
      </c>
      <c r="C152" s="13" t="s">
        <v>296</v>
      </c>
      <c r="D152" s="14" t="s">
        <v>254</v>
      </c>
      <c r="E152" s="14">
        <v>5</v>
      </c>
      <c r="F152" s="25" t="s">
        <v>481</v>
      </c>
      <c r="G152" s="26" t="s">
        <v>476</v>
      </c>
      <c r="H152" s="26" t="s">
        <v>480</v>
      </c>
      <c r="I152" s="27" t="s">
        <v>475</v>
      </c>
      <c r="J152" s="33" t="str">
        <f t="shared" si="4"/>
        <v>E02 -F04 -PB -B02</v>
      </c>
      <c r="K152" s="12" t="s">
        <v>12</v>
      </c>
    </row>
    <row r="153" spans="1:11" x14ac:dyDescent="0.25">
      <c r="A153">
        <f t="shared" si="5"/>
        <v>145</v>
      </c>
      <c r="B153" s="31" t="s">
        <v>468</v>
      </c>
      <c r="C153" s="13" t="s">
        <v>297</v>
      </c>
      <c r="D153" s="14" t="s">
        <v>298</v>
      </c>
      <c r="E153" s="14">
        <v>3</v>
      </c>
      <c r="F153" s="25" t="s">
        <v>485</v>
      </c>
      <c r="G153" s="26" t="s">
        <v>481</v>
      </c>
      <c r="H153" s="26" t="s">
        <v>482</v>
      </c>
      <c r="I153" s="27" t="s">
        <v>478</v>
      </c>
      <c r="J153" s="33" t="str">
        <f t="shared" si="4"/>
        <v>E03 -F02 -PA -B01</v>
      </c>
      <c r="K153" s="12"/>
    </row>
    <row r="154" spans="1:11" x14ac:dyDescent="0.25">
      <c r="A154">
        <f t="shared" si="5"/>
        <v>146</v>
      </c>
      <c r="B154" s="31" t="s">
        <v>468</v>
      </c>
      <c r="C154" s="13" t="s">
        <v>299</v>
      </c>
      <c r="D154" s="14" t="s">
        <v>254</v>
      </c>
      <c r="E154" s="14">
        <v>4</v>
      </c>
      <c r="F154" s="25" t="s">
        <v>474</v>
      </c>
      <c r="G154" s="26" t="s">
        <v>479</v>
      </c>
      <c r="H154" s="26"/>
      <c r="I154" s="27" t="s">
        <v>484</v>
      </c>
      <c r="J154" s="33" t="str">
        <f t="shared" si="4"/>
        <v>E05 -F01 -B04</v>
      </c>
      <c r="K154" s="12" t="s">
        <v>12</v>
      </c>
    </row>
    <row r="155" spans="1:11" x14ac:dyDescent="0.25">
      <c r="A155">
        <f t="shared" si="5"/>
        <v>147</v>
      </c>
      <c r="B155" s="31" t="s">
        <v>468</v>
      </c>
      <c r="C155" s="13" t="s">
        <v>300</v>
      </c>
      <c r="D155" s="14" t="s">
        <v>301</v>
      </c>
      <c r="E155" s="14">
        <v>4</v>
      </c>
      <c r="F155" s="25" t="s">
        <v>481</v>
      </c>
      <c r="G155" s="26" t="s">
        <v>481</v>
      </c>
      <c r="H155" s="26" t="s">
        <v>480</v>
      </c>
      <c r="I155" s="27" t="s">
        <v>478</v>
      </c>
      <c r="J155" s="33" t="str">
        <f t="shared" si="4"/>
        <v>E02 -F02 -PB -B01</v>
      </c>
      <c r="K155" s="12" t="s">
        <v>12</v>
      </c>
    </row>
    <row r="156" spans="1:11" x14ac:dyDescent="0.25">
      <c r="A156">
        <f t="shared" si="5"/>
        <v>148</v>
      </c>
      <c r="B156" s="31" t="s">
        <v>468</v>
      </c>
      <c r="C156" s="13" t="s">
        <v>302</v>
      </c>
      <c r="D156" s="14" t="s">
        <v>303</v>
      </c>
      <c r="E156" s="14">
        <v>5</v>
      </c>
      <c r="F156" s="25" t="s">
        <v>485</v>
      </c>
      <c r="G156" s="26" t="s">
        <v>476</v>
      </c>
      <c r="H156" s="26" t="s">
        <v>480</v>
      </c>
      <c r="I156" s="27" t="s">
        <v>478</v>
      </c>
      <c r="J156" s="33" t="str">
        <f t="shared" si="4"/>
        <v>E03 -F04 -PB -B01</v>
      </c>
      <c r="K156" s="12" t="s">
        <v>12</v>
      </c>
    </row>
    <row r="157" spans="1:11" x14ac:dyDescent="0.25">
      <c r="A157">
        <f t="shared" si="5"/>
        <v>149</v>
      </c>
      <c r="B157" s="31" t="s">
        <v>468</v>
      </c>
      <c r="C157" s="13" t="s">
        <v>304</v>
      </c>
      <c r="D157" s="14" t="s">
        <v>305</v>
      </c>
      <c r="E157" s="14">
        <v>4</v>
      </c>
      <c r="F157" s="25" t="s">
        <v>481</v>
      </c>
      <c r="G157" s="26" t="s">
        <v>483</v>
      </c>
      <c r="H157" s="26" t="s">
        <v>482</v>
      </c>
      <c r="I157" s="27" t="s">
        <v>487</v>
      </c>
      <c r="J157" s="33" t="str">
        <f t="shared" si="4"/>
        <v>E02 -F06 -PA -B03</v>
      </c>
      <c r="K157" s="12" t="s">
        <v>12</v>
      </c>
    </row>
    <row r="158" spans="1:11" x14ac:dyDescent="0.25">
      <c r="A158">
        <f t="shared" si="5"/>
        <v>150</v>
      </c>
      <c r="B158" s="31" t="s">
        <v>468</v>
      </c>
      <c r="C158" s="13" t="s">
        <v>306</v>
      </c>
      <c r="D158" s="14" t="s">
        <v>287</v>
      </c>
      <c r="E158" s="14">
        <v>4</v>
      </c>
      <c r="F158" s="25" t="s">
        <v>485</v>
      </c>
      <c r="G158" s="26" t="s">
        <v>479</v>
      </c>
      <c r="H158" s="26" t="s">
        <v>480</v>
      </c>
      <c r="I158" s="27" t="s">
        <v>478</v>
      </c>
      <c r="J158" s="33" t="str">
        <f t="shared" si="4"/>
        <v>E03 -F01 -PB -B01</v>
      </c>
      <c r="K158" s="12" t="s">
        <v>12</v>
      </c>
    </row>
    <row r="159" spans="1:11" x14ac:dyDescent="0.25">
      <c r="A159">
        <f t="shared" si="5"/>
        <v>151</v>
      </c>
      <c r="B159" s="31" t="s">
        <v>468</v>
      </c>
      <c r="C159" s="13" t="s">
        <v>307</v>
      </c>
      <c r="D159" s="14" t="s">
        <v>308</v>
      </c>
      <c r="E159" s="14">
        <v>8</v>
      </c>
      <c r="F159" s="25" t="s">
        <v>481</v>
      </c>
      <c r="G159" s="26" t="s">
        <v>483</v>
      </c>
      <c r="H159" s="26" t="s">
        <v>482</v>
      </c>
      <c r="I159" s="27" t="s">
        <v>484</v>
      </c>
      <c r="J159" s="33" t="str">
        <f t="shared" si="4"/>
        <v>E02 -F06 -PA -B04</v>
      </c>
      <c r="K159" s="12" t="s">
        <v>12</v>
      </c>
    </row>
    <row r="160" spans="1:11" x14ac:dyDescent="0.25">
      <c r="A160">
        <f t="shared" si="5"/>
        <v>152</v>
      </c>
      <c r="B160" s="31" t="s">
        <v>468</v>
      </c>
      <c r="C160" s="13" t="s">
        <v>309</v>
      </c>
      <c r="D160" s="14" t="s">
        <v>310</v>
      </c>
      <c r="E160" s="14">
        <v>13</v>
      </c>
      <c r="F160" s="25" t="s">
        <v>485</v>
      </c>
      <c r="G160" s="26" t="s">
        <v>481</v>
      </c>
      <c r="H160" s="26" t="s">
        <v>482</v>
      </c>
      <c r="I160" s="27" t="s">
        <v>475</v>
      </c>
      <c r="J160" s="33" t="str">
        <f t="shared" si="4"/>
        <v>E03 -F02 -PA -B02</v>
      </c>
      <c r="K160" s="12" t="s">
        <v>12</v>
      </c>
    </row>
    <row r="161" spans="1:11" x14ac:dyDescent="0.25">
      <c r="A161">
        <f t="shared" si="5"/>
        <v>153</v>
      </c>
      <c r="B161" s="31" t="s">
        <v>468</v>
      </c>
      <c r="C161" s="13" t="s">
        <v>311</v>
      </c>
      <c r="D161" s="14" t="s">
        <v>312</v>
      </c>
      <c r="E161" s="14">
        <v>4</v>
      </c>
      <c r="F161" s="25" t="s">
        <v>481</v>
      </c>
      <c r="G161" s="26" t="s">
        <v>474</v>
      </c>
      <c r="H161" s="26" t="s">
        <v>482</v>
      </c>
      <c r="I161" s="27" t="s">
        <v>484</v>
      </c>
      <c r="J161" s="33" t="str">
        <f t="shared" si="4"/>
        <v>E02 -F05 -PA -B04</v>
      </c>
      <c r="K161" s="12" t="s">
        <v>12</v>
      </c>
    </row>
    <row r="162" spans="1:11" x14ac:dyDescent="0.25">
      <c r="A162">
        <f t="shared" si="5"/>
        <v>154</v>
      </c>
      <c r="B162" s="31" t="s">
        <v>468</v>
      </c>
      <c r="C162" s="13" t="s">
        <v>313</v>
      </c>
      <c r="D162" s="14" t="s">
        <v>314</v>
      </c>
      <c r="E162" s="14">
        <v>17</v>
      </c>
      <c r="F162" s="25" t="s">
        <v>481</v>
      </c>
      <c r="G162" s="26" t="s">
        <v>474</v>
      </c>
      <c r="H162" s="26" t="s">
        <v>480</v>
      </c>
      <c r="I162" s="27" t="s">
        <v>475</v>
      </c>
      <c r="J162" s="33" t="str">
        <f t="shared" si="4"/>
        <v>E02 -F05 -PB -B02</v>
      </c>
      <c r="K162" s="12" t="s">
        <v>12</v>
      </c>
    </row>
    <row r="163" spans="1:11" x14ac:dyDescent="0.25">
      <c r="A163">
        <f t="shared" si="5"/>
        <v>155</v>
      </c>
      <c r="B163" s="31" t="s">
        <v>468</v>
      </c>
      <c r="C163" s="13" t="s">
        <v>315</v>
      </c>
      <c r="D163" s="14" t="s">
        <v>316</v>
      </c>
      <c r="E163" s="14">
        <v>2</v>
      </c>
      <c r="F163" s="25" t="s">
        <v>479</v>
      </c>
      <c r="G163" s="26" t="s">
        <v>476</v>
      </c>
      <c r="H163" s="26" t="s">
        <v>480</v>
      </c>
      <c r="I163" s="27" t="s">
        <v>487</v>
      </c>
      <c r="J163" s="33" t="str">
        <f t="shared" si="4"/>
        <v>E01 -F04 -PB -B03</v>
      </c>
      <c r="K163" s="12" t="s">
        <v>495</v>
      </c>
    </row>
    <row r="164" spans="1:11" x14ac:dyDescent="0.25">
      <c r="A164">
        <f t="shared" si="5"/>
        <v>156</v>
      </c>
      <c r="B164" s="31" t="s">
        <v>468</v>
      </c>
      <c r="C164" s="13" t="s">
        <v>317</v>
      </c>
      <c r="D164" s="14" t="s">
        <v>293</v>
      </c>
      <c r="E164" s="14">
        <v>5</v>
      </c>
      <c r="F164" s="25" t="s">
        <v>485</v>
      </c>
      <c r="G164" s="26" t="s">
        <v>479</v>
      </c>
      <c r="H164" s="26" t="s">
        <v>482</v>
      </c>
      <c r="I164" s="27" t="s">
        <v>478</v>
      </c>
      <c r="J164" s="33" t="str">
        <f t="shared" si="4"/>
        <v>E03 -F01 -PA -B01</v>
      </c>
      <c r="K164" s="12" t="s">
        <v>12</v>
      </c>
    </row>
    <row r="165" spans="1:11" x14ac:dyDescent="0.25">
      <c r="A165">
        <f t="shared" si="5"/>
        <v>157</v>
      </c>
      <c r="B165" s="31" t="s">
        <v>468</v>
      </c>
      <c r="C165" s="13" t="s">
        <v>318</v>
      </c>
      <c r="D165" s="14" t="s">
        <v>314</v>
      </c>
      <c r="E165" s="14">
        <v>8</v>
      </c>
      <c r="F165" s="25" t="s">
        <v>481</v>
      </c>
      <c r="G165" s="26" t="s">
        <v>474</v>
      </c>
      <c r="H165" s="26" t="s">
        <v>480</v>
      </c>
      <c r="I165" s="27" t="s">
        <v>487</v>
      </c>
      <c r="J165" s="33" t="str">
        <f t="shared" si="4"/>
        <v>E02 -F05 -PB -B03</v>
      </c>
      <c r="K165" s="12" t="s">
        <v>12</v>
      </c>
    </row>
    <row r="166" spans="1:11" x14ac:dyDescent="0.25">
      <c r="A166">
        <f t="shared" si="5"/>
        <v>158</v>
      </c>
      <c r="B166" s="31" t="s">
        <v>468</v>
      </c>
      <c r="C166" s="13" t="s">
        <v>319</v>
      </c>
      <c r="D166" s="14" t="s">
        <v>320</v>
      </c>
      <c r="E166" s="14">
        <v>4</v>
      </c>
      <c r="F166" s="25" t="s">
        <v>481</v>
      </c>
      <c r="G166" s="26" t="s">
        <v>476</v>
      </c>
      <c r="H166" s="26" t="s">
        <v>480</v>
      </c>
      <c r="I166" s="27" t="s">
        <v>487</v>
      </c>
      <c r="J166" s="33" t="str">
        <f t="shared" si="4"/>
        <v>E02 -F04 -PB -B03</v>
      </c>
      <c r="K166" s="12" t="s">
        <v>12</v>
      </c>
    </row>
    <row r="167" spans="1:11" x14ac:dyDescent="0.25">
      <c r="A167">
        <f t="shared" si="5"/>
        <v>159</v>
      </c>
      <c r="B167" s="31" t="s">
        <v>468</v>
      </c>
      <c r="C167" s="13" t="s">
        <v>321</v>
      </c>
      <c r="D167" s="14" t="s">
        <v>322</v>
      </c>
      <c r="E167" s="14">
        <v>1</v>
      </c>
      <c r="F167" s="25" t="s">
        <v>479</v>
      </c>
      <c r="G167" s="26" t="s">
        <v>479</v>
      </c>
      <c r="H167" s="26" t="s">
        <v>480</v>
      </c>
      <c r="I167" s="27" t="s">
        <v>484</v>
      </c>
      <c r="J167" s="33" t="str">
        <f t="shared" si="4"/>
        <v>E01 -F01 -PB -B04</v>
      </c>
      <c r="K167" s="12"/>
    </row>
    <row r="168" spans="1:11" x14ac:dyDescent="0.25">
      <c r="A168">
        <f t="shared" si="5"/>
        <v>160</v>
      </c>
      <c r="B168" s="31" t="s">
        <v>468</v>
      </c>
      <c r="C168" s="13" t="s">
        <v>323</v>
      </c>
      <c r="D168" s="14" t="s">
        <v>324</v>
      </c>
      <c r="E168" s="14">
        <v>1</v>
      </c>
      <c r="F168" s="25" t="s">
        <v>479</v>
      </c>
      <c r="G168" s="26" t="s">
        <v>479</v>
      </c>
      <c r="H168" s="26" t="s">
        <v>482</v>
      </c>
      <c r="I168" s="27" t="s">
        <v>478</v>
      </c>
      <c r="J168" s="33" t="str">
        <f t="shared" si="4"/>
        <v>E01 -F01 -PA -B01</v>
      </c>
      <c r="K168" s="12"/>
    </row>
    <row r="169" spans="1:11" x14ac:dyDescent="0.25">
      <c r="A169">
        <f t="shared" si="5"/>
        <v>161</v>
      </c>
      <c r="B169" s="31" t="s">
        <v>468</v>
      </c>
      <c r="C169" s="13" t="s">
        <v>325</v>
      </c>
      <c r="D169" s="14" t="s">
        <v>326</v>
      </c>
      <c r="E169" s="14">
        <v>2</v>
      </c>
      <c r="F169" s="25" t="s">
        <v>488</v>
      </c>
      <c r="G169" s="26" t="s">
        <v>485</v>
      </c>
      <c r="H169" s="26"/>
      <c r="I169" s="27" t="s">
        <v>478</v>
      </c>
      <c r="J169" s="33" t="str">
        <f t="shared" si="4"/>
        <v>E07 -F03 -B01</v>
      </c>
      <c r="K169" s="12"/>
    </row>
    <row r="170" spans="1:11" x14ac:dyDescent="0.25">
      <c r="A170">
        <f t="shared" si="5"/>
        <v>162</v>
      </c>
      <c r="B170" s="31" t="s">
        <v>468</v>
      </c>
      <c r="C170" s="13" t="s">
        <v>327</v>
      </c>
      <c r="D170" s="14" t="s">
        <v>328</v>
      </c>
      <c r="E170" s="14">
        <v>2</v>
      </c>
      <c r="F170" s="25" t="s">
        <v>488</v>
      </c>
      <c r="G170" s="26" t="s">
        <v>485</v>
      </c>
      <c r="H170" s="26"/>
      <c r="I170" s="27" t="s">
        <v>478</v>
      </c>
      <c r="J170" s="33" t="str">
        <f t="shared" si="4"/>
        <v>E07 -F03 -B01</v>
      </c>
      <c r="K170" s="12"/>
    </row>
    <row r="171" spans="1:11" x14ac:dyDescent="0.25">
      <c r="A171">
        <f t="shared" si="5"/>
        <v>163</v>
      </c>
      <c r="B171" s="31" t="s">
        <v>468</v>
      </c>
      <c r="C171" s="13" t="s">
        <v>329</v>
      </c>
      <c r="D171" s="14" t="s">
        <v>330</v>
      </c>
      <c r="E171" s="14">
        <v>3</v>
      </c>
      <c r="F171" s="25" t="s">
        <v>481</v>
      </c>
      <c r="G171" s="26" t="s">
        <v>476</v>
      </c>
      <c r="H171" s="26" t="s">
        <v>480</v>
      </c>
      <c r="I171" s="27" t="s">
        <v>484</v>
      </c>
      <c r="J171" s="33" t="str">
        <f t="shared" si="4"/>
        <v>E02 -F04 -PB -B04</v>
      </c>
      <c r="K171" s="12" t="s">
        <v>12</v>
      </c>
    </row>
    <row r="172" spans="1:11" x14ac:dyDescent="0.25">
      <c r="A172">
        <f t="shared" si="5"/>
        <v>164</v>
      </c>
      <c r="B172" s="31" t="s">
        <v>468</v>
      </c>
      <c r="C172" s="13" t="s">
        <v>331</v>
      </c>
      <c r="D172" s="14" t="s">
        <v>332</v>
      </c>
      <c r="E172" s="14">
        <v>6</v>
      </c>
      <c r="F172" s="25" t="s">
        <v>485</v>
      </c>
      <c r="G172" s="26" t="s">
        <v>479</v>
      </c>
      <c r="H172" s="26" t="s">
        <v>482</v>
      </c>
      <c r="I172" s="27" t="s">
        <v>475</v>
      </c>
      <c r="J172" s="33" t="str">
        <f t="shared" si="4"/>
        <v>E03 -F01 -PA -B02</v>
      </c>
      <c r="K172" s="12" t="s">
        <v>12</v>
      </c>
    </row>
    <row r="173" spans="1:11" x14ac:dyDescent="0.25">
      <c r="A173">
        <f t="shared" si="5"/>
        <v>165</v>
      </c>
      <c r="B173" s="31" t="s">
        <v>468</v>
      </c>
      <c r="C173" s="13" t="s">
        <v>333</v>
      </c>
      <c r="D173" s="14" t="s">
        <v>334</v>
      </c>
      <c r="E173" s="14">
        <v>3</v>
      </c>
      <c r="F173" s="25" t="s">
        <v>479</v>
      </c>
      <c r="G173" s="26" t="s">
        <v>479</v>
      </c>
      <c r="H173" s="26" t="s">
        <v>482</v>
      </c>
      <c r="I173" s="27" t="s">
        <v>487</v>
      </c>
      <c r="J173" s="33" t="str">
        <f t="shared" si="4"/>
        <v>E01 -F01 -PA -B03</v>
      </c>
      <c r="K173" s="12" t="s">
        <v>12</v>
      </c>
    </row>
    <row r="174" spans="1:11" x14ac:dyDescent="0.25">
      <c r="A174">
        <f t="shared" si="5"/>
        <v>166</v>
      </c>
      <c r="B174" s="31" t="s">
        <v>468</v>
      </c>
      <c r="C174" s="13" t="s">
        <v>335</v>
      </c>
      <c r="D174" s="14" t="s">
        <v>336</v>
      </c>
      <c r="E174" s="14">
        <v>1</v>
      </c>
      <c r="F174" s="25" t="s">
        <v>479</v>
      </c>
      <c r="G174" s="26" t="s">
        <v>479</v>
      </c>
      <c r="H174" s="26" t="s">
        <v>480</v>
      </c>
      <c r="I174" s="27" t="s">
        <v>487</v>
      </c>
      <c r="J174" s="33" t="str">
        <f t="shared" si="4"/>
        <v>E01 -F01 -PB -B03</v>
      </c>
      <c r="K174" s="12"/>
    </row>
    <row r="175" spans="1:11" x14ac:dyDescent="0.25">
      <c r="A175">
        <f t="shared" si="5"/>
        <v>167</v>
      </c>
      <c r="B175" s="31" t="s">
        <v>468</v>
      </c>
      <c r="C175" s="13" t="s">
        <v>337</v>
      </c>
      <c r="D175" s="14" t="s">
        <v>338</v>
      </c>
      <c r="E175" s="14">
        <v>2</v>
      </c>
      <c r="F175" s="25" t="s">
        <v>479</v>
      </c>
      <c r="G175" s="26" t="s">
        <v>489</v>
      </c>
      <c r="H175" s="26" t="s">
        <v>489</v>
      </c>
      <c r="I175" s="27" t="s">
        <v>477</v>
      </c>
      <c r="J175" s="33" t="str">
        <f t="shared" si="4"/>
        <v>E01 -F0 --P -</v>
      </c>
      <c r="K175" s="12" t="s">
        <v>12</v>
      </c>
    </row>
    <row r="176" spans="1:11" x14ac:dyDescent="0.25">
      <c r="A176">
        <f t="shared" si="5"/>
        <v>168</v>
      </c>
      <c r="B176" s="31" t="s">
        <v>468</v>
      </c>
      <c r="C176" s="13" t="s">
        <v>339</v>
      </c>
      <c r="D176" s="14" t="s">
        <v>340</v>
      </c>
      <c r="E176" s="14">
        <v>2</v>
      </c>
      <c r="F176" s="25" t="s">
        <v>479</v>
      </c>
      <c r="G176" s="26" t="s">
        <v>485</v>
      </c>
      <c r="H176" s="26" t="s">
        <v>480</v>
      </c>
      <c r="I176" s="27" t="s">
        <v>487</v>
      </c>
      <c r="J176" s="33" t="str">
        <f t="shared" si="4"/>
        <v>E01 -F03 -PB -B03</v>
      </c>
      <c r="K176" s="12" t="s">
        <v>12</v>
      </c>
    </row>
    <row r="177" spans="1:11" x14ac:dyDescent="0.25">
      <c r="A177">
        <f t="shared" si="5"/>
        <v>169</v>
      </c>
      <c r="B177" s="31" t="s">
        <v>468</v>
      </c>
      <c r="C177" s="13" t="s">
        <v>341</v>
      </c>
      <c r="D177" s="14" t="s">
        <v>342</v>
      </c>
      <c r="E177" s="14">
        <v>2</v>
      </c>
      <c r="F177" s="25" t="s">
        <v>479</v>
      </c>
      <c r="G177" s="26" t="s">
        <v>479</v>
      </c>
      <c r="H177" s="26" t="s">
        <v>482</v>
      </c>
      <c r="I177" s="27" t="s">
        <v>484</v>
      </c>
      <c r="J177" s="33" t="str">
        <f t="shared" si="4"/>
        <v>E01 -F01 -PA -B04</v>
      </c>
      <c r="K177" s="12" t="s">
        <v>12</v>
      </c>
    </row>
    <row r="178" spans="1:11" x14ac:dyDescent="0.25">
      <c r="A178">
        <f t="shared" si="5"/>
        <v>170</v>
      </c>
      <c r="B178" s="31" t="s">
        <v>468</v>
      </c>
      <c r="C178" s="13" t="s">
        <v>343</v>
      </c>
      <c r="D178" s="14" t="s">
        <v>344</v>
      </c>
      <c r="E178" s="14">
        <v>2</v>
      </c>
      <c r="F178" s="25" t="s">
        <v>479</v>
      </c>
      <c r="G178" s="26" t="s">
        <v>485</v>
      </c>
      <c r="H178" s="26" t="s">
        <v>482</v>
      </c>
      <c r="I178" s="27" t="s">
        <v>484</v>
      </c>
      <c r="J178" s="33" t="str">
        <f t="shared" si="4"/>
        <v>E01 -F03 -PA -B04</v>
      </c>
      <c r="K178" s="12" t="s">
        <v>12</v>
      </c>
    </row>
    <row r="179" spans="1:11" x14ac:dyDescent="0.25">
      <c r="A179">
        <f t="shared" si="5"/>
        <v>171</v>
      </c>
      <c r="B179" s="31" t="s">
        <v>468</v>
      </c>
      <c r="C179" s="13" t="s">
        <v>345</v>
      </c>
      <c r="D179" s="14" t="s">
        <v>346</v>
      </c>
      <c r="E179" s="14">
        <v>1</v>
      </c>
      <c r="F179" s="25" t="s">
        <v>479</v>
      </c>
      <c r="G179" s="26" t="s">
        <v>481</v>
      </c>
      <c r="H179" s="26" t="s">
        <v>480</v>
      </c>
      <c r="I179" s="27" t="s">
        <v>484</v>
      </c>
      <c r="J179" s="33" t="str">
        <f t="shared" si="4"/>
        <v>E01 -F02 -PB -B04</v>
      </c>
      <c r="K179" s="12"/>
    </row>
    <row r="180" spans="1:11" x14ac:dyDescent="0.25">
      <c r="A180">
        <f t="shared" si="5"/>
        <v>172</v>
      </c>
      <c r="B180" s="31" t="s">
        <v>468</v>
      </c>
      <c r="C180" s="13" t="s">
        <v>347</v>
      </c>
      <c r="D180" s="14" t="s">
        <v>348</v>
      </c>
      <c r="E180" s="14">
        <v>1</v>
      </c>
      <c r="F180" s="25" t="s">
        <v>479</v>
      </c>
      <c r="G180" s="26" t="s">
        <v>476</v>
      </c>
      <c r="H180" s="26" t="s">
        <v>482</v>
      </c>
      <c r="I180" s="27" t="s">
        <v>478</v>
      </c>
      <c r="J180" s="33" t="str">
        <f t="shared" si="4"/>
        <v>E01 -F04 -PA -B01</v>
      </c>
      <c r="K180" s="12"/>
    </row>
    <row r="181" spans="1:11" x14ac:dyDescent="0.25">
      <c r="A181">
        <f t="shared" si="5"/>
        <v>173</v>
      </c>
      <c r="B181" s="31" t="s">
        <v>468</v>
      </c>
      <c r="C181" s="13" t="s">
        <v>349</v>
      </c>
      <c r="D181" s="14" t="s">
        <v>350</v>
      </c>
      <c r="E181" s="14">
        <v>2</v>
      </c>
      <c r="F181" s="25" t="s">
        <v>479</v>
      </c>
      <c r="G181" s="26" t="s">
        <v>481</v>
      </c>
      <c r="H181" s="26" t="s">
        <v>480</v>
      </c>
      <c r="I181" s="27" t="s">
        <v>487</v>
      </c>
      <c r="J181" s="33" t="str">
        <f t="shared" si="4"/>
        <v>E01 -F02 -PB -B03</v>
      </c>
      <c r="K181" s="12" t="s">
        <v>12</v>
      </c>
    </row>
    <row r="182" spans="1:11" x14ac:dyDescent="0.25">
      <c r="A182">
        <f t="shared" si="5"/>
        <v>174</v>
      </c>
      <c r="B182" s="31" t="s">
        <v>468</v>
      </c>
      <c r="C182" s="13" t="s">
        <v>351</v>
      </c>
      <c r="D182" s="14" t="s">
        <v>352</v>
      </c>
      <c r="E182" s="14">
        <v>1</v>
      </c>
      <c r="F182" s="25" t="s">
        <v>479</v>
      </c>
      <c r="G182" s="26" t="s">
        <v>476</v>
      </c>
      <c r="H182" s="26" t="s">
        <v>482</v>
      </c>
      <c r="I182" s="27" t="s">
        <v>475</v>
      </c>
      <c r="J182" s="33" t="str">
        <f t="shared" si="4"/>
        <v>E01 -F04 -PA -B02</v>
      </c>
      <c r="K182" s="12"/>
    </row>
    <row r="183" spans="1:11" x14ac:dyDescent="0.25">
      <c r="A183">
        <f t="shared" si="5"/>
        <v>175</v>
      </c>
      <c r="B183" s="31" t="s">
        <v>468</v>
      </c>
      <c r="C183" s="13" t="s">
        <v>353</v>
      </c>
      <c r="D183" s="14" t="s">
        <v>354</v>
      </c>
      <c r="E183" s="14">
        <v>1</v>
      </c>
      <c r="F183" s="25" t="s">
        <v>479</v>
      </c>
      <c r="G183" s="26" t="s">
        <v>485</v>
      </c>
      <c r="H183" s="26" t="s">
        <v>480</v>
      </c>
      <c r="I183" s="27" t="s">
        <v>475</v>
      </c>
      <c r="J183" s="33" t="str">
        <f t="shared" si="4"/>
        <v>E01 -F03 -PB -B02</v>
      </c>
      <c r="K183" s="12"/>
    </row>
    <row r="184" spans="1:11" x14ac:dyDescent="0.25">
      <c r="A184">
        <f t="shared" si="5"/>
        <v>176</v>
      </c>
      <c r="B184" s="31" t="s">
        <v>468</v>
      </c>
      <c r="C184" s="13" t="s">
        <v>355</v>
      </c>
      <c r="D184" s="14" t="s">
        <v>356</v>
      </c>
      <c r="E184" s="14">
        <v>2</v>
      </c>
      <c r="F184" s="25" t="s">
        <v>479</v>
      </c>
      <c r="G184" s="26" t="s">
        <v>481</v>
      </c>
      <c r="H184" s="26" t="s">
        <v>482</v>
      </c>
      <c r="I184" s="27" t="s">
        <v>484</v>
      </c>
      <c r="J184" s="33" t="str">
        <f t="shared" si="4"/>
        <v>E01 -F02 -PA -B04</v>
      </c>
      <c r="K184" s="12" t="s">
        <v>12</v>
      </c>
    </row>
    <row r="185" spans="1:11" x14ac:dyDescent="0.25">
      <c r="A185">
        <f t="shared" si="5"/>
        <v>177</v>
      </c>
      <c r="B185" s="31" t="s">
        <v>468</v>
      </c>
      <c r="C185" s="13" t="s">
        <v>357</v>
      </c>
      <c r="D185" s="14" t="s">
        <v>358</v>
      </c>
      <c r="E185" s="14">
        <v>3</v>
      </c>
      <c r="F185" s="25" t="s">
        <v>479</v>
      </c>
      <c r="G185" s="26" t="s">
        <v>485</v>
      </c>
      <c r="H185" s="26" t="s">
        <v>482</v>
      </c>
      <c r="I185" s="27" t="s">
        <v>487</v>
      </c>
      <c r="J185" s="33" t="str">
        <f t="shared" si="4"/>
        <v>E01 -F03 -PA -B03</v>
      </c>
      <c r="K185" s="12" t="s">
        <v>12</v>
      </c>
    </row>
    <row r="186" spans="1:11" x14ac:dyDescent="0.25">
      <c r="A186">
        <f t="shared" si="5"/>
        <v>178</v>
      </c>
      <c r="B186" s="31" t="s">
        <v>468</v>
      </c>
      <c r="C186" s="13" t="s">
        <v>359</v>
      </c>
      <c r="D186" s="14" t="s">
        <v>360</v>
      </c>
      <c r="E186" s="14">
        <v>1</v>
      </c>
      <c r="F186" s="25" t="s">
        <v>483</v>
      </c>
      <c r="G186" s="26" t="s">
        <v>479</v>
      </c>
      <c r="H186" s="26"/>
      <c r="I186" s="27" t="s">
        <v>477</v>
      </c>
      <c r="J186" s="33" t="str">
        <f t="shared" si="4"/>
        <v xml:space="preserve">E06 -F01 </v>
      </c>
      <c r="K186" s="12"/>
    </row>
    <row r="187" spans="1:11" x14ac:dyDescent="0.25">
      <c r="A187">
        <f t="shared" si="5"/>
        <v>179</v>
      </c>
      <c r="B187" s="31" t="s">
        <v>468</v>
      </c>
      <c r="C187" s="13" t="s">
        <v>361</v>
      </c>
      <c r="D187" s="14" t="s">
        <v>362</v>
      </c>
      <c r="E187" s="14">
        <v>13</v>
      </c>
      <c r="F187" s="25" t="s">
        <v>481</v>
      </c>
      <c r="G187" s="26" t="s">
        <v>474</v>
      </c>
      <c r="H187" s="26" t="s">
        <v>480</v>
      </c>
      <c r="I187" s="27" t="s">
        <v>484</v>
      </c>
      <c r="J187" s="33" t="str">
        <f t="shared" si="4"/>
        <v>E02 -F05 -PB -B04</v>
      </c>
      <c r="K187" s="12" t="s">
        <v>12</v>
      </c>
    </row>
    <row r="188" spans="1:11" x14ac:dyDescent="0.25">
      <c r="A188">
        <f t="shared" si="5"/>
        <v>180</v>
      </c>
      <c r="B188" s="31" t="s">
        <v>468</v>
      </c>
      <c r="C188" s="13" t="s">
        <v>363</v>
      </c>
      <c r="D188" s="14" t="s">
        <v>281</v>
      </c>
      <c r="E188" s="14">
        <v>1</v>
      </c>
      <c r="F188" s="25" t="s">
        <v>481</v>
      </c>
      <c r="G188" s="26" t="s">
        <v>479</v>
      </c>
      <c r="H188" s="26" t="s">
        <v>482</v>
      </c>
      <c r="I188" s="27" t="s">
        <v>487</v>
      </c>
      <c r="J188" s="33" t="str">
        <f t="shared" si="4"/>
        <v>E02 -F01 -PA -B03</v>
      </c>
      <c r="K188" s="12"/>
    </row>
    <row r="189" spans="1:11" x14ac:dyDescent="0.25">
      <c r="A189">
        <f t="shared" si="5"/>
        <v>181</v>
      </c>
      <c r="B189" s="31" t="s">
        <v>468</v>
      </c>
      <c r="C189" s="13" t="s">
        <v>364</v>
      </c>
      <c r="D189" s="14" t="s">
        <v>365</v>
      </c>
      <c r="E189" s="14">
        <v>8</v>
      </c>
      <c r="F189" s="25" t="s">
        <v>485</v>
      </c>
      <c r="G189" s="26" t="s">
        <v>485</v>
      </c>
      <c r="H189" s="26" t="s">
        <v>482</v>
      </c>
      <c r="I189" s="27" t="s">
        <v>487</v>
      </c>
      <c r="J189" s="33" t="str">
        <f t="shared" si="4"/>
        <v>E03 -F03 -PA -B03</v>
      </c>
      <c r="K189" s="12"/>
    </row>
    <row r="190" spans="1:11" x14ac:dyDescent="0.25">
      <c r="A190">
        <f t="shared" si="5"/>
        <v>182</v>
      </c>
      <c r="B190" s="31" t="s">
        <v>468</v>
      </c>
      <c r="C190" s="13" t="s">
        <v>366</v>
      </c>
      <c r="D190" s="14" t="s">
        <v>367</v>
      </c>
      <c r="E190" s="14">
        <v>2</v>
      </c>
      <c r="F190" s="25" t="s">
        <v>479</v>
      </c>
      <c r="G190" s="26" t="s">
        <v>485</v>
      </c>
      <c r="H190" s="26" t="s">
        <v>480</v>
      </c>
      <c r="I190" s="27" t="s">
        <v>484</v>
      </c>
      <c r="J190" s="33" t="str">
        <f t="shared" si="4"/>
        <v>E01 -F03 -PB -B04</v>
      </c>
      <c r="K190" s="12" t="s">
        <v>12</v>
      </c>
    </row>
    <row r="191" spans="1:11" x14ac:dyDescent="0.25">
      <c r="A191">
        <f t="shared" si="5"/>
        <v>183</v>
      </c>
      <c r="B191" s="31" t="s">
        <v>468</v>
      </c>
      <c r="C191" s="13" t="s">
        <v>368</v>
      </c>
      <c r="D191" s="14" t="s">
        <v>369</v>
      </c>
      <c r="E191" s="14">
        <v>10</v>
      </c>
      <c r="F191" s="25" t="s">
        <v>481</v>
      </c>
      <c r="G191" s="26" t="s">
        <v>479</v>
      </c>
      <c r="H191" s="26" t="s">
        <v>482</v>
      </c>
      <c r="I191" s="27" t="s">
        <v>484</v>
      </c>
      <c r="J191" s="33" t="str">
        <f t="shared" si="4"/>
        <v>E02 -F01 -PA -B04</v>
      </c>
      <c r="K191" s="12" t="s">
        <v>12</v>
      </c>
    </row>
    <row r="192" spans="1:11" x14ac:dyDescent="0.25">
      <c r="A192">
        <f t="shared" si="5"/>
        <v>184</v>
      </c>
      <c r="B192" s="31" t="s">
        <v>468</v>
      </c>
      <c r="C192" s="13" t="s">
        <v>370</v>
      </c>
      <c r="D192" s="14" t="s">
        <v>371</v>
      </c>
      <c r="E192" s="32">
        <v>0</v>
      </c>
      <c r="F192" s="25" t="s">
        <v>485</v>
      </c>
      <c r="G192" s="26" t="s">
        <v>474</v>
      </c>
      <c r="H192" s="26" t="s">
        <v>482</v>
      </c>
      <c r="I192" s="27" t="s">
        <v>475</v>
      </c>
      <c r="J192" s="33" t="str">
        <f t="shared" si="4"/>
        <v>E03 -F05 -PA -B02</v>
      </c>
      <c r="K192" s="12" t="s">
        <v>431</v>
      </c>
    </row>
    <row r="193" spans="1:11" x14ac:dyDescent="0.25">
      <c r="A193">
        <f t="shared" si="5"/>
        <v>185</v>
      </c>
      <c r="B193" s="31" t="s">
        <v>468</v>
      </c>
      <c r="C193" s="13" t="s">
        <v>372</v>
      </c>
      <c r="D193" s="14" t="s">
        <v>267</v>
      </c>
      <c r="E193" s="14">
        <v>2</v>
      </c>
      <c r="F193" s="25" t="s">
        <v>479</v>
      </c>
      <c r="G193" s="26" t="s">
        <v>476</v>
      </c>
      <c r="H193" s="26" t="s">
        <v>480</v>
      </c>
      <c r="I193" s="27" t="s">
        <v>484</v>
      </c>
      <c r="J193" s="33" t="str">
        <f t="shared" si="4"/>
        <v>E01 -F04 -PB -B04</v>
      </c>
      <c r="K193" s="12"/>
    </row>
    <row r="194" spans="1:11" x14ac:dyDescent="0.25">
      <c r="A194">
        <f t="shared" si="5"/>
        <v>186</v>
      </c>
      <c r="B194" s="31" t="s">
        <v>468</v>
      </c>
      <c r="C194" s="13" t="s">
        <v>373</v>
      </c>
      <c r="D194" s="14" t="s">
        <v>289</v>
      </c>
      <c r="E194" s="14">
        <v>10</v>
      </c>
      <c r="F194" s="25" t="s">
        <v>485</v>
      </c>
      <c r="G194" s="26" t="s">
        <v>483</v>
      </c>
      <c r="H194" s="26" t="s">
        <v>489</v>
      </c>
      <c r="I194" s="27" t="s">
        <v>477</v>
      </c>
      <c r="J194" s="33" t="str">
        <f t="shared" si="4"/>
        <v>E03 -F06 -P -</v>
      </c>
      <c r="K194" s="12"/>
    </row>
    <row r="195" spans="1:11" x14ac:dyDescent="0.25">
      <c r="A195">
        <f t="shared" si="5"/>
        <v>187</v>
      </c>
      <c r="B195" s="31" t="s">
        <v>468</v>
      </c>
      <c r="C195" s="13" t="s">
        <v>374</v>
      </c>
      <c r="D195" s="14" t="s">
        <v>375</v>
      </c>
      <c r="E195" s="14">
        <v>3</v>
      </c>
      <c r="F195" s="25" t="s">
        <v>481</v>
      </c>
      <c r="G195" s="26" t="s">
        <v>479</v>
      </c>
      <c r="H195" s="26" t="s">
        <v>480</v>
      </c>
      <c r="I195" s="27" t="s">
        <v>484</v>
      </c>
      <c r="J195" s="33" t="str">
        <f t="shared" si="4"/>
        <v>E02 -F01 -PB -B04</v>
      </c>
      <c r="K195" s="12" t="s">
        <v>12</v>
      </c>
    </row>
    <row r="196" spans="1:11" x14ac:dyDescent="0.25">
      <c r="A196">
        <f t="shared" si="5"/>
        <v>188</v>
      </c>
      <c r="B196" s="31" t="s">
        <v>468</v>
      </c>
      <c r="C196" s="13" t="s">
        <v>376</v>
      </c>
      <c r="D196" s="14" t="s">
        <v>285</v>
      </c>
      <c r="E196" s="14">
        <v>2</v>
      </c>
      <c r="F196" s="25" t="s">
        <v>481</v>
      </c>
      <c r="G196" s="26" t="s">
        <v>481</v>
      </c>
      <c r="H196" s="26" t="s">
        <v>480</v>
      </c>
      <c r="I196" s="27" t="s">
        <v>484</v>
      </c>
      <c r="J196" s="33" t="str">
        <f t="shared" si="4"/>
        <v>E02 -F02 -PB -B04</v>
      </c>
      <c r="K196" s="12" t="s">
        <v>12</v>
      </c>
    </row>
    <row r="197" spans="1:11" x14ac:dyDescent="0.25">
      <c r="A197">
        <f t="shared" si="5"/>
        <v>189</v>
      </c>
      <c r="B197" s="31" t="s">
        <v>468</v>
      </c>
      <c r="C197" s="13" t="s">
        <v>377</v>
      </c>
      <c r="D197" s="14" t="s">
        <v>378</v>
      </c>
      <c r="E197" s="14">
        <v>3</v>
      </c>
      <c r="F197" s="25" t="s">
        <v>481</v>
      </c>
      <c r="G197" s="26" t="s">
        <v>481</v>
      </c>
      <c r="H197" s="26" t="s">
        <v>482</v>
      </c>
      <c r="I197" s="27" t="s">
        <v>478</v>
      </c>
      <c r="J197" s="33" t="str">
        <f t="shared" si="4"/>
        <v>E02 -F02 -PA -B01</v>
      </c>
      <c r="K197" s="12"/>
    </row>
    <row r="198" spans="1:11" x14ac:dyDescent="0.25">
      <c r="A198">
        <f t="shared" si="5"/>
        <v>190</v>
      </c>
      <c r="B198" s="31" t="s">
        <v>468</v>
      </c>
      <c r="C198" s="13" t="s">
        <v>379</v>
      </c>
      <c r="D198" s="14" t="s">
        <v>380</v>
      </c>
      <c r="E198" s="14">
        <v>4</v>
      </c>
      <c r="F198" s="25" t="s">
        <v>481</v>
      </c>
      <c r="G198" s="26" t="s">
        <v>485</v>
      </c>
      <c r="H198" s="26" t="s">
        <v>480</v>
      </c>
      <c r="I198" s="27" t="s">
        <v>484</v>
      </c>
      <c r="J198" s="33" t="str">
        <f t="shared" si="4"/>
        <v>E02 -F03 -PB -B04</v>
      </c>
      <c r="K198" s="12" t="s">
        <v>12</v>
      </c>
    </row>
    <row r="199" spans="1:11" x14ac:dyDescent="0.25">
      <c r="A199">
        <f t="shared" si="5"/>
        <v>191</v>
      </c>
      <c r="B199" s="31" t="s">
        <v>468</v>
      </c>
      <c r="C199" s="13" t="s">
        <v>381</v>
      </c>
      <c r="D199" s="14" t="s">
        <v>382</v>
      </c>
      <c r="E199" s="14">
        <v>2</v>
      </c>
      <c r="F199" s="25" t="s">
        <v>485</v>
      </c>
      <c r="G199" s="26" t="s">
        <v>479</v>
      </c>
      <c r="H199" s="26" t="s">
        <v>482</v>
      </c>
      <c r="I199" s="27" t="s">
        <v>487</v>
      </c>
      <c r="J199" s="33" t="str">
        <f t="shared" si="4"/>
        <v>E03 -F01 -PA -B03</v>
      </c>
      <c r="K199" s="12" t="s">
        <v>12</v>
      </c>
    </row>
    <row r="200" spans="1:11" x14ac:dyDescent="0.25">
      <c r="A200">
        <f t="shared" si="5"/>
        <v>192</v>
      </c>
      <c r="B200" s="31" t="s">
        <v>468</v>
      </c>
      <c r="C200" s="13" t="s">
        <v>383</v>
      </c>
      <c r="D200" s="14" t="s">
        <v>384</v>
      </c>
      <c r="E200" s="14">
        <v>3</v>
      </c>
      <c r="F200" s="25" t="s">
        <v>481</v>
      </c>
      <c r="G200" s="26" t="s">
        <v>486</v>
      </c>
      <c r="H200" s="26" t="s">
        <v>480</v>
      </c>
      <c r="I200" s="27" t="s">
        <v>478</v>
      </c>
      <c r="J200" s="33" t="str">
        <f t="shared" si="4"/>
        <v>E02 -F08 -PB -B01</v>
      </c>
      <c r="K200" s="12" t="s">
        <v>12</v>
      </c>
    </row>
    <row r="201" spans="1:11" x14ac:dyDescent="0.25">
      <c r="A201">
        <f t="shared" si="5"/>
        <v>193</v>
      </c>
      <c r="B201" s="31" t="s">
        <v>468</v>
      </c>
      <c r="C201" s="13" t="s">
        <v>385</v>
      </c>
      <c r="D201" s="14" t="s">
        <v>386</v>
      </c>
      <c r="E201" s="14">
        <v>1</v>
      </c>
      <c r="F201" s="25" t="s">
        <v>485</v>
      </c>
      <c r="G201" s="26" t="s">
        <v>479</v>
      </c>
      <c r="H201" s="26" t="s">
        <v>482</v>
      </c>
      <c r="I201" s="27" t="s">
        <v>484</v>
      </c>
      <c r="J201" s="33" t="str">
        <f t="shared" si="4"/>
        <v>E03 -F01 -PA -B04</v>
      </c>
      <c r="K201" s="12" t="s">
        <v>12</v>
      </c>
    </row>
    <row r="202" spans="1:11" x14ac:dyDescent="0.25">
      <c r="A202">
        <f t="shared" si="5"/>
        <v>194</v>
      </c>
      <c r="B202" s="31" t="s">
        <v>468</v>
      </c>
      <c r="C202" s="13" t="s">
        <v>387</v>
      </c>
      <c r="D202" s="14" t="s">
        <v>388</v>
      </c>
      <c r="E202" s="14">
        <v>11</v>
      </c>
      <c r="F202" s="25" t="s">
        <v>485</v>
      </c>
      <c r="G202" s="26" t="s">
        <v>483</v>
      </c>
      <c r="H202" s="26" t="s">
        <v>482</v>
      </c>
      <c r="I202" s="27" t="s">
        <v>487</v>
      </c>
      <c r="J202" s="33" t="str">
        <f t="shared" ref="J202:J259" si="6">IF(F202="","",+"E0"&amp;F202)&amp;IF(G202="","",+"-F0"&amp;G202)&amp;IF(H202="","",+"-P"&amp;H202)&amp;IF(I202="","",+"-B0"&amp;I202)</f>
        <v>E03 -F06 -PA -B03</v>
      </c>
      <c r="K202" s="12" t="s">
        <v>12</v>
      </c>
    </row>
    <row r="203" spans="1:11" x14ac:dyDescent="0.25">
      <c r="A203">
        <f t="shared" ref="A203:A235" si="7">+A202+1</f>
        <v>195</v>
      </c>
      <c r="B203" s="31" t="s">
        <v>468</v>
      </c>
      <c r="C203" s="13" t="s">
        <v>389</v>
      </c>
      <c r="D203" s="14" t="s">
        <v>390</v>
      </c>
      <c r="E203" s="14">
        <v>6</v>
      </c>
      <c r="F203" s="25" t="s">
        <v>485</v>
      </c>
      <c r="G203" s="26" t="s">
        <v>476</v>
      </c>
      <c r="H203" s="26" t="s">
        <v>480</v>
      </c>
      <c r="I203" s="27" t="s">
        <v>487</v>
      </c>
      <c r="J203" s="33" t="str">
        <f t="shared" si="6"/>
        <v>E03 -F04 -PB -B03</v>
      </c>
      <c r="K203" s="12" t="s">
        <v>12</v>
      </c>
    </row>
    <row r="204" spans="1:11" x14ac:dyDescent="0.25">
      <c r="A204">
        <f t="shared" si="7"/>
        <v>196</v>
      </c>
      <c r="B204" s="31" t="s">
        <v>468</v>
      </c>
      <c r="C204" s="13" t="s">
        <v>391</v>
      </c>
      <c r="D204" s="14" t="s">
        <v>392</v>
      </c>
      <c r="E204" s="14">
        <v>5</v>
      </c>
      <c r="F204" s="25" t="s">
        <v>485</v>
      </c>
      <c r="G204" s="26" t="s">
        <v>481</v>
      </c>
      <c r="H204" s="26" t="s">
        <v>482</v>
      </c>
      <c r="I204" s="27" t="s">
        <v>487</v>
      </c>
      <c r="J204" s="33" t="str">
        <f t="shared" si="6"/>
        <v>E03 -F02 -PA -B03</v>
      </c>
      <c r="K204" s="12" t="s">
        <v>12</v>
      </c>
    </row>
    <row r="205" spans="1:11" x14ac:dyDescent="0.25">
      <c r="A205">
        <f t="shared" si="7"/>
        <v>197</v>
      </c>
      <c r="B205" s="31" t="s">
        <v>468</v>
      </c>
      <c r="C205" s="13" t="s">
        <v>393</v>
      </c>
      <c r="D205" s="14" t="s">
        <v>394</v>
      </c>
      <c r="E205" s="14">
        <v>5</v>
      </c>
      <c r="F205" s="25" t="s">
        <v>483</v>
      </c>
      <c r="G205" s="26" t="s">
        <v>479</v>
      </c>
      <c r="H205" s="26"/>
      <c r="I205" s="27" t="s">
        <v>478</v>
      </c>
      <c r="J205" s="33" t="str">
        <f t="shared" si="6"/>
        <v>E06 -F01 -B01</v>
      </c>
      <c r="K205" s="12"/>
    </row>
    <row r="206" spans="1:11" x14ac:dyDescent="0.25">
      <c r="A206">
        <f t="shared" si="7"/>
        <v>198</v>
      </c>
      <c r="B206" s="31" t="s">
        <v>505</v>
      </c>
      <c r="C206" s="13" t="s">
        <v>395</v>
      </c>
      <c r="D206" s="14" t="s">
        <v>396</v>
      </c>
      <c r="E206" s="14">
        <v>4</v>
      </c>
      <c r="F206" s="25" t="s">
        <v>479</v>
      </c>
      <c r="G206" s="26" t="s">
        <v>479</v>
      </c>
      <c r="H206" s="26" t="s">
        <v>482</v>
      </c>
      <c r="I206" s="27" t="s">
        <v>475</v>
      </c>
      <c r="J206" s="33" t="str">
        <f t="shared" si="6"/>
        <v>E01 -F01 -PA -B02</v>
      </c>
      <c r="K206" s="12" t="s">
        <v>12</v>
      </c>
    </row>
    <row r="207" spans="1:11" x14ac:dyDescent="0.25">
      <c r="A207">
        <f t="shared" si="7"/>
        <v>199</v>
      </c>
      <c r="B207" s="31" t="s">
        <v>468</v>
      </c>
      <c r="C207" s="13" t="s">
        <v>397</v>
      </c>
      <c r="D207" s="14" t="s">
        <v>308</v>
      </c>
      <c r="E207" s="14">
        <v>9</v>
      </c>
      <c r="F207" s="25" t="s">
        <v>481</v>
      </c>
      <c r="G207" s="26" t="s">
        <v>483</v>
      </c>
      <c r="H207" s="26" t="s">
        <v>480</v>
      </c>
      <c r="I207" s="27" t="s">
        <v>484</v>
      </c>
      <c r="J207" s="33" t="str">
        <f t="shared" si="6"/>
        <v>E02 -F06 -PB -B04</v>
      </c>
      <c r="K207" s="12" t="s">
        <v>12</v>
      </c>
    </row>
    <row r="208" spans="1:11" x14ac:dyDescent="0.25">
      <c r="A208">
        <f t="shared" si="7"/>
        <v>200</v>
      </c>
      <c r="B208" s="31" t="s">
        <v>468</v>
      </c>
      <c r="C208" s="13" t="s">
        <v>398</v>
      </c>
      <c r="D208" s="14" t="s">
        <v>371</v>
      </c>
      <c r="E208" s="14">
        <v>2</v>
      </c>
      <c r="F208" s="25" t="s">
        <v>481</v>
      </c>
      <c r="G208" s="26" t="s">
        <v>488</v>
      </c>
      <c r="H208" s="26" t="s">
        <v>482</v>
      </c>
      <c r="I208" s="27" t="s">
        <v>484</v>
      </c>
      <c r="J208" s="33" t="str">
        <f t="shared" si="6"/>
        <v>E02 -F07 -PA -B04</v>
      </c>
      <c r="K208" s="12"/>
    </row>
    <row r="209" spans="1:11" x14ac:dyDescent="0.25">
      <c r="A209">
        <f t="shared" si="7"/>
        <v>201</v>
      </c>
      <c r="B209" s="31" t="s">
        <v>505</v>
      </c>
      <c r="C209" s="45" t="s">
        <v>501</v>
      </c>
      <c r="D209" s="46" t="s">
        <v>396</v>
      </c>
      <c r="E209" s="46">
        <v>3</v>
      </c>
      <c r="F209" s="25">
        <v>3</v>
      </c>
      <c r="G209" s="26">
        <v>6</v>
      </c>
      <c r="H209" s="26" t="s">
        <v>480</v>
      </c>
      <c r="I209" s="27">
        <v>3</v>
      </c>
      <c r="J209" s="33" t="str">
        <f t="shared" si="6"/>
        <v>E03-F06-PB -B03</v>
      </c>
      <c r="K209" s="12"/>
    </row>
    <row r="210" spans="1:11" x14ac:dyDescent="0.25">
      <c r="A210">
        <f t="shared" si="7"/>
        <v>202</v>
      </c>
      <c r="B210" s="31" t="s">
        <v>468</v>
      </c>
      <c r="C210" s="13" t="s">
        <v>399</v>
      </c>
      <c r="D210" s="14" t="s">
        <v>400</v>
      </c>
      <c r="E210" s="14">
        <v>15</v>
      </c>
      <c r="F210" s="25" t="s">
        <v>485</v>
      </c>
      <c r="G210" s="26" t="s">
        <v>479</v>
      </c>
      <c r="H210" s="26" t="s">
        <v>480</v>
      </c>
      <c r="I210" s="27" t="s">
        <v>487</v>
      </c>
      <c r="J210" s="33" t="str">
        <f t="shared" si="6"/>
        <v>E03 -F01 -PB -B03</v>
      </c>
      <c r="K210" s="12" t="s">
        <v>490</v>
      </c>
    </row>
    <row r="211" spans="1:11" x14ac:dyDescent="0.25">
      <c r="A211">
        <f t="shared" si="7"/>
        <v>203</v>
      </c>
      <c r="B211" s="31" t="s">
        <v>468</v>
      </c>
      <c r="C211" s="13" t="s">
        <v>401</v>
      </c>
      <c r="D211" s="14" t="s">
        <v>402</v>
      </c>
      <c r="E211" s="14">
        <v>4</v>
      </c>
      <c r="F211" s="25" t="s">
        <v>474</v>
      </c>
      <c r="G211" s="26" t="s">
        <v>479</v>
      </c>
      <c r="H211" s="26"/>
      <c r="I211" s="27" t="s">
        <v>487</v>
      </c>
      <c r="J211" s="33" t="str">
        <f t="shared" si="6"/>
        <v>E05 -F01 -B03</v>
      </c>
      <c r="K211" s="12"/>
    </row>
    <row r="212" spans="1:11" x14ac:dyDescent="0.25">
      <c r="A212">
        <f t="shared" si="7"/>
        <v>204</v>
      </c>
      <c r="B212" s="31" t="s">
        <v>468</v>
      </c>
      <c r="C212" s="13" t="s">
        <v>403</v>
      </c>
      <c r="D212" s="14" t="s">
        <v>404</v>
      </c>
      <c r="E212" s="14">
        <v>1</v>
      </c>
      <c r="F212" s="25" t="s">
        <v>483</v>
      </c>
      <c r="G212" s="26" t="s">
        <v>481</v>
      </c>
      <c r="H212" s="26"/>
      <c r="I212" s="27" t="s">
        <v>478</v>
      </c>
      <c r="J212" s="33" t="str">
        <f t="shared" si="6"/>
        <v>E06 -F02 -B01</v>
      </c>
      <c r="K212" s="12"/>
    </row>
    <row r="213" spans="1:11" x14ac:dyDescent="0.25">
      <c r="A213">
        <f t="shared" si="7"/>
        <v>205</v>
      </c>
      <c r="B213" s="31" t="s">
        <v>468</v>
      </c>
      <c r="C213" s="13" t="s">
        <v>405</v>
      </c>
      <c r="D213" s="14" t="s">
        <v>406</v>
      </c>
      <c r="E213" s="14">
        <v>8</v>
      </c>
      <c r="F213" s="25" t="s">
        <v>474</v>
      </c>
      <c r="G213" s="26" t="s">
        <v>485</v>
      </c>
      <c r="H213" s="26"/>
      <c r="I213" s="27" t="s">
        <v>477</v>
      </c>
      <c r="J213" s="33" t="str">
        <f t="shared" si="6"/>
        <v xml:space="preserve">E05 -F03 </v>
      </c>
      <c r="K213" s="12" t="s">
        <v>496</v>
      </c>
    </row>
    <row r="214" spans="1:11" x14ac:dyDescent="0.25">
      <c r="A214">
        <f t="shared" si="7"/>
        <v>206</v>
      </c>
      <c r="B214" s="31" t="s">
        <v>468</v>
      </c>
      <c r="C214" s="13" t="s">
        <v>407</v>
      </c>
      <c r="D214" s="14" t="s">
        <v>408</v>
      </c>
      <c r="E214" s="14">
        <v>14</v>
      </c>
      <c r="F214" s="25" t="s">
        <v>485</v>
      </c>
      <c r="G214" s="26" t="s">
        <v>479</v>
      </c>
      <c r="H214" s="26" t="s">
        <v>480</v>
      </c>
      <c r="I214" s="27" t="s">
        <v>484</v>
      </c>
      <c r="J214" s="33" t="str">
        <f t="shared" si="6"/>
        <v>E03 -F01 -PB -B04</v>
      </c>
      <c r="K214" s="12"/>
    </row>
    <row r="215" spans="1:11" x14ac:dyDescent="0.25">
      <c r="A215">
        <f t="shared" si="7"/>
        <v>207</v>
      </c>
      <c r="B215" s="31" t="s">
        <v>468</v>
      </c>
      <c r="C215" s="13" t="s">
        <v>409</v>
      </c>
      <c r="D215" s="14" t="s">
        <v>410</v>
      </c>
      <c r="E215" s="14">
        <v>3</v>
      </c>
      <c r="F215" s="25" t="s">
        <v>479</v>
      </c>
      <c r="G215" s="26" t="s">
        <v>476</v>
      </c>
      <c r="H215" s="26" t="s">
        <v>480</v>
      </c>
      <c r="I215" s="27" t="s">
        <v>478</v>
      </c>
      <c r="J215" s="33" t="str">
        <f t="shared" si="6"/>
        <v>E01 -F04 -PB -B01</v>
      </c>
      <c r="K215" s="12" t="s">
        <v>12</v>
      </c>
    </row>
    <row r="216" spans="1:11" x14ac:dyDescent="0.25">
      <c r="A216">
        <f t="shared" si="7"/>
        <v>208</v>
      </c>
      <c r="B216" s="31" t="s">
        <v>468</v>
      </c>
      <c r="C216" s="13" t="s">
        <v>411</v>
      </c>
      <c r="D216" s="14" t="s">
        <v>412</v>
      </c>
      <c r="E216" s="14">
        <v>2</v>
      </c>
      <c r="F216" s="25" t="s">
        <v>479</v>
      </c>
      <c r="G216" s="26" t="s">
        <v>486</v>
      </c>
      <c r="H216" s="26" t="s">
        <v>480</v>
      </c>
      <c r="I216" s="27" t="s">
        <v>484</v>
      </c>
      <c r="J216" s="33" t="str">
        <f t="shared" si="6"/>
        <v>E01 -F08 -PB -B04</v>
      </c>
      <c r="K216" s="12" t="s">
        <v>12</v>
      </c>
    </row>
    <row r="217" spans="1:11" x14ac:dyDescent="0.25">
      <c r="A217">
        <f t="shared" si="7"/>
        <v>209</v>
      </c>
      <c r="B217" s="31" t="s">
        <v>468</v>
      </c>
      <c r="C217" s="13" t="s">
        <v>413</v>
      </c>
      <c r="D217" s="14" t="s">
        <v>414</v>
      </c>
      <c r="E217" s="14">
        <v>3</v>
      </c>
      <c r="F217" s="25" t="s">
        <v>485</v>
      </c>
      <c r="G217" s="26" t="s">
        <v>476</v>
      </c>
      <c r="H217" s="26" t="s">
        <v>482</v>
      </c>
      <c r="I217" s="27" t="s">
        <v>484</v>
      </c>
      <c r="J217" s="33" t="str">
        <f t="shared" si="6"/>
        <v>E03 -F04 -PA -B04</v>
      </c>
      <c r="K217" s="12" t="s">
        <v>12</v>
      </c>
    </row>
    <row r="218" spans="1:11" x14ac:dyDescent="0.25">
      <c r="A218">
        <f t="shared" si="7"/>
        <v>210</v>
      </c>
      <c r="B218" s="31" t="s">
        <v>468</v>
      </c>
      <c r="C218" s="13" t="s">
        <v>415</v>
      </c>
      <c r="D218" s="14" t="s">
        <v>416</v>
      </c>
      <c r="E218" s="14">
        <v>7</v>
      </c>
      <c r="F218" s="25" t="s">
        <v>485</v>
      </c>
      <c r="G218" s="26" t="s">
        <v>476</v>
      </c>
      <c r="H218" s="26" t="s">
        <v>482</v>
      </c>
      <c r="I218" s="27" t="s">
        <v>484</v>
      </c>
      <c r="J218" s="33" t="str">
        <f t="shared" si="6"/>
        <v>E03 -F04 -PA -B04</v>
      </c>
      <c r="K218" s="12" t="s">
        <v>12</v>
      </c>
    </row>
    <row r="219" spans="1:11" x14ac:dyDescent="0.25">
      <c r="A219">
        <f t="shared" si="7"/>
        <v>211</v>
      </c>
      <c r="B219" s="31" t="s">
        <v>468</v>
      </c>
      <c r="C219" s="45" t="s">
        <v>499</v>
      </c>
      <c r="D219" s="46" t="s">
        <v>500</v>
      </c>
      <c r="E219" s="46">
        <v>1</v>
      </c>
      <c r="F219" s="25">
        <v>3</v>
      </c>
      <c r="G219" s="26">
        <v>6</v>
      </c>
      <c r="H219" s="26" t="s">
        <v>480</v>
      </c>
      <c r="I219" s="27">
        <v>4</v>
      </c>
      <c r="J219" s="33" t="str">
        <f t="shared" si="6"/>
        <v>E03-F06-PB -B04</v>
      </c>
      <c r="K219" s="12"/>
    </row>
    <row r="220" spans="1:11" x14ac:dyDescent="0.25">
      <c r="A220">
        <f t="shared" si="7"/>
        <v>212</v>
      </c>
      <c r="B220" s="31" t="s">
        <v>468</v>
      </c>
      <c r="C220" s="13" t="s">
        <v>417</v>
      </c>
      <c r="D220" s="14" t="s">
        <v>418</v>
      </c>
      <c r="E220" s="14">
        <v>6</v>
      </c>
      <c r="F220" s="25" t="s">
        <v>485</v>
      </c>
      <c r="G220" s="26" t="s">
        <v>481</v>
      </c>
      <c r="H220" s="26" t="s">
        <v>480</v>
      </c>
      <c r="I220" s="27" t="s">
        <v>487</v>
      </c>
      <c r="J220" s="33" t="str">
        <f t="shared" si="6"/>
        <v>E03 -F02 -PB -B03</v>
      </c>
      <c r="K220" s="12" t="s">
        <v>12</v>
      </c>
    </row>
    <row r="221" spans="1:11" x14ac:dyDescent="0.25">
      <c r="A221">
        <f t="shared" si="7"/>
        <v>213</v>
      </c>
      <c r="B221" s="31" t="s">
        <v>468</v>
      </c>
      <c r="C221" s="13" t="s">
        <v>419</v>
      </c>
      <c r="D221" s="14" t="s">
        <v>420</v>
      </c>
      <c r="E221" s="14">
        <v>5</v>
      </c>
      <c r="F221" s="25" t="s">
        <v>485</v>
      </c>
      <c r="G221" s="26" t="s">
        <v>481</v>
      </c>
      <c r="H221" s="26" t="s">
        <v>480</v>
      </c>
      <c r="I221" s="27" t="s">
        <v>484</v>
      </c>
      <c r="J221" s="33" t="str">
        <f t="shared" si="6"/>
        <v>E03 -F02 -PB -B04</v>
      </c>
      <c r="K221" s="12" t="s">
        <v>12</v>
      </c>
    </row>
    <row r="222" spans="1:11" x14ac:dyDescent="0.25">
      <c r="A222">
        <f t="shared" si="7"/>
        <v>214</v>
      </c>
      <c r="B222" s="31" t="s">
        <v>468</v>
      </c>
      <c r="C222" s="13" t="s">
        <v>421</v>
      </c>
      <c r="D222" s="14" t="s">
        <v>422</v>
      </c>
      <c r="E222" s="14">
        <v>2</v>
      </c>
      <c r="F222" s="25" t="s">
        <v>483</v>
      </c>
      <c r="G222" s="26" t="s">
        <v>481</v>
      </c>
      <c r="H222" s="26"/>
      <c r="I222" s="27" t="s">
        <v>478</v>
      </c>
      <c r="J222" s="33" t="str">
        <f t="shared" si="6"/>
        <v>E06 -F02 -B01</v>
      </c>
      <c r="K222" s="12"/>
    </row>
    <row r="223" spans="1:11" x14ac:dyDescent="0.25">
      <c r="A223">
        <f t="shared" si="7"/>
        <v>215</v>
      </c>
      <c r="B223" s="31" t="s">
        <v>468</v>
      </c>
      <c r="C223" s="45" t="s">
        <v>498</v>
      </c>
      <c r="D223" s="46" t="s">
        <v>232</v>
      </c>
      <c r="E223" s="46">
        <v>1</v>
      </c>
      <c r="F223" s="25">
        <v>3</v>
      </c>
      <c r="G223" s="26">
        <v>6</v>
      </c>
      <c r="H223" s="26" t="s">
        <v>480</v>
      </c>
      <c r="I223" s="27">
        <v>1</v>
      </c>
      <c r="J223" s="33" t="str">
        <f t="shared" si="6"/>
        <v>E03-F06-PB -B01</v>
      </c>
      <c r="K223" s="12"/>
    </row>
    <row r="224" spans="1:11" x14ac:dyDescent="0.25">
      <c r="A224">
        <f t="shared" si="7"/>
        <v>216</v>
      </c>
      <c r="B224" s="31" t="s">
        <v>468</v>
      </c>
      <c r="C224" s="13" t="s">
        <v>423</v>
      </c>
      <c r="D224" s="14" t="s">
        <v>298</v>
      </c>
      <c r="E224" s="14">
        <v>7</v>
      </c>
      <c r="F224" s="25" t="s">
        <v>485</v>
      </c>
      <c r="G224" s="26" t="s">
        <v>481</v>
      </c>
      <c r="H224" s="26" t="s">
        <v>482</v>
      </c>
      <c r="I224" s="27" t="s">
        <v>484</v>
      </c>
      <c r="J224" s="33" t="str">
        <f t="shared" si="6"/>
        <v>E03 -F02 -PA -B04</v>
      </c>
      <c r="K224" s="12" t="s">
        <v>490</v>
      </c>
    </row>
    <row r="225" spans="1:11" x14ac:dyDescent="0.25">
      <c r="A225">
        <f t="shared" si="7"/>
        <v>217</v>
      </c>
      <c r="B225" s="31" t="s">
        <v>468</v>
      </c>
      <c r="C225" s="13" t="s">
        <v>504</v>
      </c>
      <c r="D225" s="14" t="s">
        <v>230</v>
      </c>
      <c r="E225" s="14">
        <v>4</v>
      </c>
      <c r="F225" s="25">
        <v>3</v>
      </c>
      <c r="G225" s="26">
        <v>6</v>
      </c>
      <c r="H225" s="26" t="s">
        <v>480</v>
      </c>
      <c r="I225" s="27">
        <v>2</v>
      </c>
      <c r="J225" s="33" t="str">
        <f t="shared" si="6"/>
        <v>E03-F06-PB -B02</v>
      </c>
      <c r="K225" s="12"/>
    </row>
    <row r="226" spans="1:11" x14ac:dyDescent="0.25">
      <c r="A226">
        <f t="shared" si="7"/>
        <v>218</v>
      </c>
      <c r="B226" s="31" t="s">
        <v>468</v>
      </c>
      <c r="C226" s="13" t="s">
        <v>424</v>
      </c>
      <c r="D226" s="14" t="s">
        <v>425</v>
      </c>
      <c r="E226" s="14">
        <v>5</v>
      </c>
      <c r="F226" s="25" t="s">
        <v>485</v>
      </c>
      <c r="G226" s="26" t="s">
        <v>474</v>
      </c>
      <c r="H226" s="26" t="s">
        <v>480</v>
      </c>
      <c r="I226" s="27" t="s">
        <v>484</v>
      </c>
      <c r="J226" s="33" t="str">
        <f t="shared" si="6"/>
        <v>E03 -F05 -PB -B04</v>
      </c>
      <c r="K226" s="12"/>
    </row>
    <row r="227" spans="1:11" x14ac:dyDescent="0.25">
      <c r="A227">
        <f t="shared" si="7"/>
        <v>219</v>
      </c>
      <c r="B227" s="31" t="s">
        <v>468</v>
      </c>
      <c r="C227" s="13" t="s">
        <v>426</v>
      </c>
      <c r="D227" s="14" t="s">
        <v>427</v>
      </c>
      <c r="E227" s="14">
        <v>2</v>
      </c>
      <c r="F227" s="25" t="s">
        <v>483</v>
      </c>
      <c r="G227" s="26" t="s">
        <v>476</v>
      </c>
      <c r="H227" s="26"/>
      <c r="I227" s="27" t="s">
        <v>478</v>
      </c>
      <c r="J227" s="33" t="str">
        <f t="shared" si="6"/>
        <v>E06 -F04 -B01</v>
      </c>
      <c r="K227" s="12"/>
    </row>
    <row r="228" spans="1:11" x14ac:dyDescent="0.25">
      <c r="A228">
        <f t="shared" si="7"/>
        <v>220</v>
      </c>
      <c r="B228" s="31" t="s">
        <v>468</v>
      </c>
      <c r="C228" s="13" t="s">
        <v>428</v>
      </c>
      <c r="D228" s="14" t="s">
        <v>429</v>
      </c>
      <c r="E228" s="14">
        <v>8</v>
      </c>
      <c r="F228" s="25" t="s">
        <v>488</v>
      </c>
      <c r="G228" s="26" t="s">
        <v>481</v>
      </c>
      <c r="H228" s="26"/>
      <c r="I228" s="27" t="s">
        <v>478</v>
      </c>
      <c r="J228" s="33" t="str">
        <f t="shared" si="6"/>
        <v>E07 -F02 -B01</v>
      </c>
      <c r="K228" s="12" t="s">
        <v>12</v>
      </c>
    </row>
    <row r="229" spans="1:11" x14ac:dyDescent="0.25">
      <c r="A229">
        <f t="shared" si="7"/>
        <v>221</v>
      </c>
      <c r="B229" s="31" t="s">
        <v>468</v>
      </c>
      <c r="C229" s="13" t="s">
        <v>430</v>
      </c>
      <c r="D229" s="14" t="s">
        <v>293</v>
      </c>
      <c r="E229" s="14">
        <v>5</v>
      </c>
      <c r="F229" s="25" t="s">
        <v>476</v>
      </c>
      <c r="G229" s="26" t="s">
        <v>483</v>
      </c>
      <c r="H229" s="26"/>
      <c r="I229" s="27" t="s">
        <v>478</v>
      </c>
      <c r="J229" s="33" t="str">
        <f t="shared" si="6"/>
        <v>E04 -F06 -B01</v>
      </c>
      <c r="K229" s="12"/>
    </row>
    <row r="230" spans="1:11" x14ac:dyDescent="0.25">
      <c r="A230">
        <f t="shared" si="7"/>
        <v>222</v>
      </c>
      <c r="B230" s="31" t="s">
        <v>468</v>
      </c>
      <c r="C230" s="13" t="s">
        <v>432</v>
      </c>
      <c r="D230" s="14" t="s">
        <v>433</v>
      </c>
      <c r="E230" s="14">
        <v>4</v>
      </c>
      <c r="F230" s="25" t="s">
        <v>488</v>
      </c>
      <c r="G230" s="26" t="s">
        <v>479</v>
      </c>
      <c r="H230" s="26"/>
      <c r="I230" s="27" t="s">
        <v>478</v>
      </c>
      <c r="J230" s="33" t="str">
        <f t="shared" si="6"/>
        <v>E07 -F01 -B01</v>
      </c>
      <c r="K230" s="12" t="s">
        <v>12</v>
      </c>
    </row>
    <row r="231" spans="1:11" x14ac:dyDescent="0.25">
      <c r="A231">
        <f t="shared" si="7"/>
        <v>223</v>
      </c>
      <c r="B231" s="31" t="s">
        <v>468</v>
      </c>
      <c r="C231" s="13" t="s">
        <v>434</v>
      </c>
      <c r="D231" s="14" t="s">
        <v>285</v>
      </c>
      <c r="E231" s="14">
        <v>5</v>
      </c>
      <c r="F231" s="25" t="s">
        <v>479</v>
      </c>
      <c r="G231" s="26" t="s">
        <v>486</v>
      </c>
      <c r="H231" s="26" t="s">
        <v>480</v>
      </c>
      <c r="I231" s="27" t="s">
        <v>475</v>
      </c>
      <c r="J231" s="33" t="str">
        <f t="shared" si="6"/>
        <v>E01 -F08 -PB -B02</v>
      </c>
      <c r="K231" s="12" t="s">
        <v>12</v>
      </c>
    </row>
    <row r="232" spans="1:11" x14ac:dyDescent="0.25">
      <c r="A232">
        <f t="shared" si="7"/>
        <v>224</v>
      </c>
      <c r="B232" s="31" t="s">
        <v>468</v>
      </c>
      <c r="C232" s="13" t="s">
        <v>435</v>
      </c>
      <c r="D232" s="14" t="s">
        <v>436</v>
      </c>
      <c r="E232" s="14">
        <v>9</v>
      </c>
      <c r="F232" s="25" t="s">
        <v>485</v>
      </c>
      <c r="G232" s="26" t="s">
        <v>485</v>
      </c>
      <c r="H232" s="26" t="s">
        <v>480</v>
      </c>
      <c r="I232" s="27" t="s">
        <v>484</v>
      </c>
      <c r="J232" s="33" t="str">
        <f t="shared" si="6"/>
        <v>E03 -F03 -PB -B04</v>
      </c>
      <c r="K232" s="12" t="s">
        <v>12</v>
      </c>
    </row>
    <row r="233" spans="1:11" x14ac:dyDescent="0.25">
      <c r="A233">
        <f t="shared" si="7"/>
        <v>225</v>
      </c>
      <c r="B233" s="31" t="s">
        <v>468</v>
      </c>
      <c r="C233" s="13" t="s">
        <v>437</v>
      </c>
      <c r="D233" s="14" t="s">
        <v>400</v>
      </c>
      <c r="E233" s="14">
        <v>16</v>
      </c>
      <c r="F233" s="25" t="s">
        <v>481</v>
      </c>
      <c r="G233" s="26" t="s">
        <v>483</v>
      </c>
      <c r="H233" s="26" t="s">
        <v>482</v>
      </c>
      <c r="I233" s="27" t="s">
        <v>478</v>
      </c>
      <c r="J233" s="33" t="str">
        <f t="shared" si="6"/>
        <v>E02 -F06 -PA -B01</v>
      </c>
      <c r="K233" s="12"/>
    </row>
    <row r="234" spans="1:11" x14ac:dyDescent="0.25">
      <c r="A234">
        <f t="shared" si="7"/>
        <v>226</v>
      </c>
      <c r="B234" s="31" t="s">
        <v>468</v>
      </c>
      <c r="C234" s="13" t="s">
        <v>438</v>
      </c>
      <c r="D234" s="14" t="s">
        <v>439</v>
      </c>
      <c r="E234" s="14">
        <v>7</v>
      </c>
      <c r="F234" s="25" t="s">
        <v>485</v>
      </c>
      <c r="G234" s="26" t="s">
        <v>485</v>
      </c>
      <c r="H234" s="26" t="s">
        <v>482</v>
      </c>
      <c r="I234" s="27" t="s">
        <v>484</v>
      </c>
      <c r="J234" s="33" t="str">
        <f t="shared" si="6"/>
        <v>E03 -F03 -PA -B04</v>
      </c>
      <c r="K234" s="12"/>
    </row>
    <row r="235" spans="1:11" x14ac:dyDescent="0.25">
      <c r="A235">
        <f t="shared" si="7"/>
        <v>227</v>
      </c>
      <c r="B235" s="31" t="s">
        <v>468</v>
      </c>
      <c r="C235" s="13" t="s">
        <v>440</v>
      </c>
      <c r="D235" s="14" t="s">
        <v>441</v>
      </c>
      <c r="E235" s="14">
        <v>8</v>
      </c>
      <c r="F235" s="25" t="s">
        <v>485</v>
      </c>
      <c r="G235" s="26" t="s">
        <v>476</v>
      </c>
      <c r="H235" s="26" t="s">
        <v>480</v>
      </c>
      <c r="I235" s="27" t="s">
        <v>484</v>
      </c>
      <c r="J235" s="33" t="str">
        <f t="shared" si="6"/>
        <v>E03 -F04 -PB -B04</v>
      </c>
      <c r="K235" s="12"/>
    </row>
    <row r="236" spans="1:11" x14ac:dyDescent="0.25">
      <c r="B236" s="34"/>
      <c r="C236" s="35"/>
      <c r="D236" s="35"/>
      <c r="E236" s="48"/>
      <c r="F236" s="37"/>
      <c r="G236" s="37"/>
      <c r="H236" s="37"/>
      <c r="I236" s="37"/>
      <c r="J236" s="33" t="str">
        <f t="shared" si="6"/>
        <v/>
      </c>
      <c r="K236" s="36"/>
    </row>
    <row r="237" spans="1:11" x14ac:dyDescent="0.25">
      <c r="A237">
        <v>228</v>
      </c>
      <c r="B237" s="11" t="s">
        <v>505</v>
      </c>
      <c r="C237" s="45" t="s">
        <v>506</v>
      </c>
      <c r="D237" s="46" t="s">
        <v>507</v>
      </c>
      <c r="E237" s="46">
        <v>4</v>
      </c>
      <c r="F237" s="25">
        <v>3</v>
      </c>
      <c r="G237" s="26">
        <v>7</v>
      </c>
      <c r="H237" s="26" t="s">
        <v>480</v>
      </c>
      <c r="I237" s="27">
        <v>1</v>
      </c>
      <c r="J237" s="33" t="str">
        <f t="shared" si="6"/>
        <v>E03-F07-PB -B01</v>
      </c>
      <c r="K237" s="12"/>
    </row>
    <row r="238" spans="1:11" x14ac:dyDescent="0.25">
      <c r="A238">
        <v>229</v>
      </c>
      <c r="B238" s="11" t="s">
        <v>505</v>
      </c>
      <c r="C238" s="45" t="s">
        <v>508</v>
      </c>
      <c r="D238" s="46" t="s">
        <v>509</v>
      </c>
      <c r="E238" s="46">
        <v>4</v>
      </c>
      <c r="F238" s="25">
        <v>3</v>
      </c>
      <c r="G238" s="26">
        <v>7</v>
      </c>
      <c r="H238" s="26" t="s">
        <v>480</v>
      </c>
      <c r="I238" s="27">
        <v>2</v>
      </c>
      <c r="J238" s="33" t="str">
        <f t="shared" si="6"/>
        <v>E03-F07-PB -B02</v>
      </c>
      <c r="K238" s="12"/>
    </row>
    <row r="239" spans="1:11" x14ac:dyDescent="0.25">
      <c r="A239">
        <v>230</v>
      </c>
      <c r="B239" s="11" t="s">
        <v>505</v>
      </c>
      <c r="C239" s="45" t="s">
        <v>510</v>
      </c>
      <c r="D239" s="46" t="s">
        <v>511</v>
      </c>
      <c r="E239" s="46">
        <v>4</v>
      </c>
      <c r="F239" s="25">
        <v>3</v>
      </c>
      <c r="G239" s="26">
        <v>7</v>
      </c>
      <c r="H239" s="26" t="s">
        <v>480</v>
      </c>
      <c r="I239" s="27">
        <v>3</v>
      </c>
      <c r="J239" s="33" t="str">
        <f t="shared" si="6"/>
        <v>E03-F07-PB -B03</v>
      </c>
      <c r="K239" s="12"/>
    </row>
    <row r="240" spans="1:11" x14ac:dyDescent="0.25">
      <c r="F240" s="38"/>
      <c r="G240" s="38"/>
      <c r="H240" s="38"/>
      <c r="I240" s="38"/>
      <c r="J240" s="33" t="str">
        <f t="shared" si="6"/>
        <v/>
      </c>
    </row>
    <row r="241" spans="1:11" x14ac:dyDescent="0.25">
      <c r="A241">
        <v>231</v>
      </c>
      <c r="B241" s="11" t="s">
        <v>469</v>
      </c>
      <c r="C241" s="13" t="s">
        <v>442</v>
      </c>
      <c r="D241" s="14" t="s">
        <v>443</v>
      </c>
      <c r="E241" s="14">
        <v>2</v>
      </c>
      <c r="F241" s="25" t="s">
        <v>474</v>
      </c>
      <c r="G241" s="26" t="s">
        <v>481</v>
      </c>
      <c r="H241" s="26"/>
      <c r="I241" s="27" t="s">
        <v>475</v>
      </c>
      <c r="J241" s="33" t="str">
        <f t="shared" si="6"/>
        <v>E05 -F02 -B02</v>
      </c>
      <c r="K241" s="12"/>
    </row>
    <row r="242" spans="1:11" x14ac:dyDescent="0.25">
      <c r="A242">
        <f t="shared" ref="A242:A259" si="8">+A241+1</f>
        <v>232</v>
      </c>
      <c r="B242" s="11" t="s">
        <v>469</v>
      </c>
      <c r="C242" s="13" t="s">
        <v>444</v>
      </c>
      <c r="D242" s="14" t="s">
        <v>445</v>
      </c>
      <c r="E242" s="14">
        <v>4</v>
      </c>
      <c r="F242" s="25" t="s">
        <v>474</v>
      </c>
      <c r="G242" s="26" t="s">
        <v>481</v>
      </c>
      <c r="H242" s="26"/>
      <c r="I242" s="27" t="s">
        <v>478</v>
      </c>
      <c r="J242" s="33" t="str">
        <f t="shared" si="6"/>
        <v>E05 -F02 -B01</v>
      </c>
      <c r="K242" s="12"/>
    </row>
    <row r="243" spans="1:11" x14ac:dyDescent="0.25">
      <c r="A243">
        <f t="shared" si="8"/>
        <v>233</v>
      </c>
      <c r="B243" s="11" t="s">
        <v>469</v>
      </c>
      <c r="C243" s="13" t="s">
        <v>446</v>
      </c>
      <c r="D243" s="14" t="s">
        <v>447</v>
      </c>
      <c r="E243" s="14">
        <v>4</v>
      </c>
      <c r="F243" s="25" t="s">
        <v>483</v>
      </c>
      <c r="G243" s="26" t="s">
        <v>485</v>
      </c>
      <c r="H243" s="26"/>
      <c r="I243" s="27" t="s">
        <v>478</v>
      </c>
      <c r="J243" s="33" t="str">
        <f t="shared" si="6"/>
        <v>E06 -F03 -B01</v>
      </c>
      <c r="K243" s="12"/>
    </row>
    <row r="244" spans="1:11" x14ac:dyDescent="0.25">
      <c r="A244">
        <f t="shared" si="8"/>
        <v>234</v>
      </c>
      <c r="B244" s="11" t="s">
        <v>469</v>
      </c>
      <c r="C244" s="13" t="s">
        <v>448</v>
      </c>
      <c r="D244" s="14" t="s">
        <v>449</v>
      </c>
      <c r="E244" s="14">
        <v>2</v>
      </c>
      <c r="F244" s="25" t="s">
        <v>483</v>
      </c>
      <c r="G244" s="26" t="s">
        <v>485</v>
      </c>
      <c r="H244" s="26"/>
      <c r="I244" s="27" t="s">
        <v>487</v>
      </c>
      <c r="J244" s="33" t="str">
        <f t="shared" si="6"/>
        <v>E06 -F03 -B03</v>
      </c>
      <c r="K244" s="12"/>
    </row>
    <row r="245" spans="1:11" x14ac:dyDescent="0.25">
      <c r="A245">
        <f t="shared" si="8"/>
        <v>235</v>
      </c>
      <c r="B245" s="11" t="s">
        <v>469</v>
      </c>
      <c r="C245" s="13" t="s">
        <v>450</v>
      </c>
      <c r="D245" s="14" t="s">
        <v>451</v>
      </c>
      <c r="E245" s="32">
        <v>0</v>
      </c>
      <c r="F245" s="25"/>
      <c r="G245" s="26"/>
      <c r="H245" s="26"/>
      <c r="I245" s="27"/>
      <c r="J245" s="33" t="str">
        <f t="shared" si="6"/>
        <v/>
      </c>
      <c r="K245" s="12"/>
    </row>
    <row r="246" spans="1:11" x14ac:dyDescent="0.25">
      <c r="A246">
        <f t="shared" si="8"/>
        <v>236</v>
      </c>
      <c r="B246" s="11" t="s">
        <v>469</v>
      </c>
      <c r="C246" s="13" t="s">
        <v>452</v>
      </c>
      <c r="D246" s="14" t="s">
        <v>453</v>
      </c>
      <c r="E246" s="14">
        <v>4</v>
      </c>
      <c r="F246" s="25" t="s">
        <v>483</v>
      </c>
      <c r="G246" s="26" t="s">
        <v>485</v>
      </c>
      <c r="H246" s="26"/>
      <c r="I246" s="27" t="s">
        <v>484</v>
      </c>
      <c r="J246" s="33" t="str">
        <f t="shared" si="6"/>
        <v>E06 -F03 -B04</v>
      </c>
      <c r="K246" s="12"/>
    </row>
    <row r="247" spans="1:11" x14ac:dyDescent="0.25">
      <c r="A247">
        <f t="shared" si="8"/>
        <v>237</v>
      </c>
      <c r="B247" s="11" t="s">
        <v>469</v>
      </c>
      <c r="C247" s="13" t="s">
        <v>454</v>
      </c>
      <c r="D247" s="14" t="s">
        <v>455</v>
      </c>
      <c r="E247" s="14">
        <v>1</v>
      </c>
      <c r="F247" s="25" t="s">
        <v>483</v>
      </c>
      <c r="G247" s="26" t="s">
        <v>485</v>
      </c>
      <c r="H247" s="26"/>
      <c r="I247" s="27" t="s">
        <v>487</v>
      </c>
      <c r="J247" s="33" t="str">
        <f t="shared" si="6"/>
        <v>E06 -F03 -B03</v>
      </c>
      <c r="K247" s="12"/>
    </row>
    <row r="248" spans="1:11" x14ac:dyDescent="0.25">
      <c r="A248">
        <f t="shared" si="8"/>
        <v>238</v>
      </c>
      <c r="B248" s="11" t="s">
        <v>469</v>
      </c>
      <c r="C248" s="13" t="s">
        <v>456</v>
      </c>
      <c r="D248" s="14" t="s">
        <v>457</v>
      </c>
      <c r="E248" s="14">
        <v>1</v>
      </c>
      <c r="F248" s="25" t="s">
        <v>474</v>
      </c>
      <c r="G248" s="26" t="s">
        <v>481</v>
      </c>
      <c r="H248" s="26"/>
      <c r="I248" s="27" t="s">
        <v>475</v>
      </c>
      <c r="J248" s="33" t="str">
        <f t="shared" si="6"/>
        <v>E05 -F02 -B02</v>
      </c>
      <c r="K248" s="12"/>
    </row>
    <row r="249" spans="1:11" x14ac:dyDescent="0.25">
      <c r="A249">
        <f t="shared" si="8"/>
        <v>239</v>
      </c>
      <c r="B249" s="11" t="s">
        <v>469</v>
      </c>
      <c r="C249" s="45" t="s">
        <v>517</v>
      </c>
      <c r="D249" s="46" t="s">
        <v>518</v>
      </c>
      <c r="E249" s="46">
        <v>6</v>
      </c>
      <c r="F249" s="25">
        <v>3</v>
      </c>
      <c r="G249" s="26">
        <v>7</v>
      </c>
      <c r="H249" s="26" t="s">
        <v>482</v>
      </c>
      <c r="I249" s="27">
        <v>1</v>
      </c>
      <c r="J249" s="33" t="str">
        <f t="shared" si="6"/>
        <v>E03-F07-PA -B01</v>
      </c>
      <c r="K249" s="12"/>
    </row>
    <row r="250" spans="1:11" x14ac:dyDescent="0.25">
      <c r="A250">
        <f t="shared" si="8"/>
        <v>240</v>
      </c>
      <c r="B250" s="11" t="s">
        <v>469</v>
      </c>
      <c r="C250" s="45" t="s">
        <v>526</v>
      </c>
      <c r="D250" s="46" t="s">
        <v>527</v>
      </c>
      <c r="E250" s="46">
        <v>8</v>
      </c>
      <c r="F250" s="25">
        <v>3</v>
      </c>
      <c r="G250" s="26">
        <v>7</v>
      </c>
      <c r="H250" s="26" t="s">
        <v>482</v>
      </c>
      <c r="I250" s="27">
        <v>2</v>
      </c>
      <c r="J250" s="33" t="str">
        <f t="shared" si="6"/>
        <v>E03-F07-PA -B02</v>
      </c>
      <c r="K250" s="12"/>
    </row>
    <row r="251" spans="1:11" x14ac:dyDescent="0.25">
      <c r="A251">
        <f t="shared" si="8"/>
        <v>241</v>
      </c>
      <c r="B251" s="11" t="s">
        <v>469</v>
      </c>
      <c r="C251" s="45" t="s">
        <v>519</v>
      </c>
      <c r="D251" s="46" t="s">
        <v>520</v>
      </c>
      <c r="E251" s="46">
        <v>13</v>
      </c>
      <c r="F251" s="25">
        <v>3</v>
      </c>
      <c r="G251" s="26">
        <v>7</v>
      </c>
      <c r="H251" s="26" t="s">
        <v>482</v>
      </c>
      <c r="I251" s="27">
        <v>3</v>
      </c>
      <c r="J251" s="33" t="str">
        <f t="shared" si="6"/>
        <v>E03-F07-PA -B03</v>
      </c>
      <c r="K251" s="12"/>
    </row>
    <row r="252" spans="1:11" x14ac:dyDescent="0.25">
      <c r="A252">
        <f t="shared" si="8"/>
        <v>242</v>
      </c>
      <c r="B252" s="11" t="s">
        <v>469</v>
      </c>
      <c r="C252" s="45" t="s">
        <v>512</v>
      </c>
      <c r="D252" s="46" t="s">
        <v>513</v>
      </c>
      <c r="E252" s="46">
        <v>3</v>
      </c>
      <c r="F252" s="25">
        <v>3</v>
      </c>
      <c r="G252" s="26">
        <v>7</v>
      </c>
      <c r="H252" s="26" t="s">
        <v>482</v>
      </c>
      <c r="I252" s="27">
        <v>4</v>
      </c>
      <c r="J252" s="33" t="str">
        <f t="shared" si="6"/>
        <v>E03-F07-PA -B04</v>
      </c>
      <c r="K252" s="12"/>
    </row>
    <row r="253" spans="1:11" x14ac:dyDescent="0.25">
      <c r="A253">
        <f t="shared" si="8"/>
        <v>243</v>
      </c>
      <c r="B253" s="11" t="s">
        <v>469</v>
      </c>
      <c r="C253" s="45" t="s">
        <v>516</v>
      </c>
      <c r="D253" s="46" t="s">
        <v>521</v>
      </c>
      <c r="E253" s="46">
        <v>11</v>
      </c>
      <c r="F253" s="25">
        <v>3</v>
      </c>
      <c r="G253" s="26">
        <v>8</v>
      </c>
      <c r="H253" s="26" t="s">
        <v>482</v>
      </c>
      <c r="I253" s="27">
        <v>1</v>
      </c>
      <c r="J253" s="33" t="str">
        <f t="shared" si="6"/>
        <v>E03-F08-PA -B01</v>
      </c>
      <c r="K253" s="12"/>
    </row>
    <row r="254" spans="1:11" x14ac:dyDescent="0.25">
      <c r="A254">
        <f t="shared" si="8"/>
        <v>244</v>
      </c>
      <c r="B254" s="11" t="s">
        <v>469</v>
      </c>
      <c r="C254" s="45" t="s">
        <v>514</v>
      </c>
      <c r="D254" s="46" t="s">
        <v>515</v>
      </c>
      <c r="E254" s="46">
        <v>8</v>
      </c>
      <c r="F254" s="25">
        <v>3</v>
      </c>
      <c r="G254" s="26">
        <v>8</v>
      </c>
      <c r="H254" s="26" t="s">
        <v>482</v>
      </c>
      <c r="I254" s="27">
        <v>2</v>
      </c>
      <c r="J254" s="33" t="str">
        <f t="shared" si="6"/>
        <v>E03-F08-PA -B02</v>
      </c>
      <c r="K254" s="12"/>
    </row>
    <row r="255" spans="1:11" x14ac:dyDescent="0.25">
      <c r="A255">
        <f t="shared" si="8"/>
        <v>245</v>
      </c>
      <c r="B255" s="11" t="s">
        <v>469</v>
      </c>
      <c r="C255" s="45" t="s">
        <v>522</v>
      </c>
      <c r="D255" s="46" t="s">
        <v>523</v>
      </c>
      <c r="E255" s="46">
        <v>25</v>
      </c>
      <c r="F255" s="25">
        <v>3</v>
      </c>
      <c r="G255" s="26">
        <v>8</v>
      </c>
      <c r="H255" s="26" t="s">
        <v>482</v>
      </c>
      <c r="I255" s="27">
        <v>3</v>
      </c>
      <c r="J255" s="33" t="str">
        <f t="shared" si="6"/>
        <v>E03-F08-PA -B03</v>
      </c>
      <c r="K255" s="12"/>
    </row>
    <row r="256" spans="1:11" x14ac:dyDescent="0.25">
      <c r="A256">
        <f t="shared" si="8"/>
        <v>246</v>
      </c>
      <c r="B256" s="11" t="s">
        <v>469</v>
      </c>
      <c r="C256" s="45" t="s">
        <v>524</v>
      </c>
      <c r="D256" s="46" t="s">
        <v>525</v>
      </c>
      <c r="E256" s="46">
        <v>17</v>
      </c>
      <c r="F256" s="25">
        <v>3</v>
      </c>
      <c r="G256" s="26">
        <v>8</v>
      </c>
      <c r="H256" s="26" t="s">
        <v>482</v>
      </c>
      <c r="I256" s="27">
        <v>4</v>
      </c>
      <c r="J256" s="33" t="str">
        <f t="shared" si="6"/>
        <v>E03-F08-PA -B04</v>
      </c>
      <c r="K256" s="12"/>
    </row>
    <row r="257" spans="1:11" x14ac:dyDescent="0.25">
      <c r="A257">
        <f t="shared" si="8"/>
        <v>247</v>
      </c>
      <c r="B257" s="11" t="s">
        <v>469</v>
      </c>
      <c r="C257" s="13" t="s">
        <v>458</v>
      </c>
      <c r="D257" s="14" t="s">
        <v>459</v>
      </c>
      <c r="E257" s="14">
        <v>2</v>
      </c>
      <c r="F257" s="25" t="s">
        <v>474</v>
      </c>
      <c r="G257" s="26" t="s">
        <v>481</v>
      </c>
      <c r="H257" s="26"/>
      <c r="I257" s="27" t="s">
        <v>478</v>
      </c>
      <c r="J257" s="33" t="str">
        <f t="shared" si="6"/>
        <v>E05 -F02 -B01</v>
      </c>
      <c r="K257" s="12"/>
    </row>
    <row r="258" spans="1:11" x14ac:dyDescent="0.25">
      <c r="A258">
        <f t="shared" si="8"/>
        <v>248</v>
      </c>
      <c r="B258" s="11" t="s">
        <v>469</v>
      </c>
      <c r="C258" s="13" t="s">
        <v>460</v>
      </c>
      <c r="D258" s="14" t="s">
        <v>461</v>
      </c>
      <c r="E258" s="14">
        <v>13</v>
      </c>
      <c r="F258" s="25" t="s">
        <v>474</v>
      </c>
      <c r="G258" s="26" t="s">
        <v>483</v>
      </c>
      <c r="H258" s="26"/>
      <c r="I258" s="27" t="s">
        <v>484</v>
      </c>
      <c r="J258" s="33" t="str">
        <f t="shared" si="6"/>
        <v>E05 -F06 -B04</v>
      </c>
      <c r="K258" s="12"/>
    </row>
    <row r="259" spans="1:11" x14ac:dyDescent="0.25">
      <c r="A259">
        <f t="shared" si="8"/>
        <v>249</v>
      </c>
      <c r="B259" s="11" t="s">
        <v>469</v>
      </c>
      <c r="C259" s="13" t="s">
        <v>462</v>
      </c>
      <c r="D259" s="14" t="s">
        <v>463</v>
      </c>
      <c r="E259" s="14">
        <v>7</v>
      </c>
      <c r="F259" s="25" t="s">
        <v>474</v>
      </c>
      <c r="G259" s="26" t="s">
        <v>483</v>
      </c>
      <c r="H259" s="26"/>
      <c r="I259" s="27" t="s">
        <v>487</v>
      </c>
      <c r="J259" s="33" t="str">
        <f t="shared" si="6"/>
        <v>E05 -F06 -B03</v>
      </c>
      <c r="K259" s="12"/>
    </row>
  </sheetData>
  <autoFilter ref="A8:K259" xr:uid="{7F9521EC-DF2E-42C5-8E29-C3033173338A}"/>
  <mergeCells count="5">
    <mergeCell ref="F32:I32"/>
    <mergeCell ref="D7:D8"/>
    <mergeCell ref="E7:E8"/>
    <mergeCell ref="J7:J8"/>
    <mergeCell ref="K7:K8"/>
  </mergeCells>
  <phoneticPr fontId="4" type="noConversion"/>
  <conditionalFormatting sqref="E9">
    <cfRule type="cellIs" dxfId="4" priority="11" operator="equal">
      <formula>0</formula>
    </cfRule>
    <cfRule type="cellIs" dxfId="3" priority="15" stopIfTrue="1" operator="equal">
      <formula>0</formula>
    </cfRule>
  </conditionalFormatting>
  <conditionalFormatting sqref="E9:E235 E241:E259 E237:E239">
    <cfRule type="cellIs" dxfId="2" priority="10" operator="equal">
      <formula>0</formula>
    </cfRule>
  </conditionalFormatting>
  <conditionalFormatting sqref="C9:D235 C237:D239 C241:D259">
    <cfRule type="expression" dxfId="1" priority="2" stopIfTrue="1">
      <formula>$E9=0</formula>
    </cfRule>
  </conditionalFormatting>
  <conditionalFormatting sqref="C9:E235 C237:E239 C241:E259">
    <cfRule type="expression" dxfId="0" priority="1" stopIfTrue="1">
      <formula>$E9=1</formula>
    </cfRule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5E1F5-D87E-44A3-B0BC-F26C8A813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Formato Tabla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Isabelli</dc:creator>
  <cp:keywords/>
  <dc:description/>
  <cp:lastModifiedBy>David Mc Laren</cp:lastModifiedBy>
  <cp:revision/>
  <dcterms:created xsi:type="dcterms:W3CDTF">2024-03-14T14:28:20Z</dcterms:created>
  <dcterms:modified xsi:type="dcterms:W3CDTF">2025-12-11T19:18:42Z</dcterms:modified>
  <cp:category/>
  <cp:contentStatus/>
</cp:coreProperties>
</file>
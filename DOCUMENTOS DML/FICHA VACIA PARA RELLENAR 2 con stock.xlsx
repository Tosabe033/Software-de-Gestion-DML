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Ficha" sheetId="1" r:id="rId1"/>
    <sheet name="INFO A CRM" sheetId="3" r:id="rId2"/>
    <sheet name="Matriz de repuest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DML_OF</author>
  </authors>
  <commentList>
    <comment ref="B220" authorId="0">
      <text>
        <r>
          <rPr>
            <b/>
            <sz val="9"/>
            <rFont val="Tahoma"/>
            <charset val="134"/>
          </rPr>
          <t>DML_OF:</t>
        </r>
        <r>
          <rPr>
            <sz val="9"/>
            <rFont val="Tahoma"/>
            <charset val="134"/>
          </rPr>
          <t xml:space="preserve">
RULEMAN FUERA DE STOCK NO SE SABE DE QUE MAQUINA ES
</t>
        </r>
      </text>
    </comment>
  </commentList>
</comments>
</file>

<file path=xl/sharedStrings.xml><?xml version="1.0" encoding="utf-8"?>
<sst xmlns="http://schemas.openxmlformats.org/spreadsheetml/2006/main" count="508" uniqueCount="483">
  <si>
    <t>Nº Ficha</t>
  </si>
  <si>
    <t>Servicio Técnico</t>
  </si>
  <si>
    <t>Fecha:</t>
  </si>
  <si>
    <t xml:space="preserve">Contacto del Cliente:  </t>
  </si>
  <si>
    <t>Nombre del Cliente:</t>
  </si>
  <si>
    <t>Equipo Recibido:</t>
  </si>
  <si>
    <t>Serie N°:</t>
  </si>
  <si>
    <t>Fecha de ingreso:</t>
  </si>
  <si>
    <t>Bat N°:</t>
  </si>
  <si>
    <t>Cargador N°:</t>
  </si>
  <si>
    <t>DIAGNOSTICO DEL DEPARTAMENTO TECNICO</t>
  </si>
  <si>
    <t>NO SELLA</t>
  </si>
  <si>
    <t>INTEGRIDAD</t>
  </si>
  <si>
    <t>CHEQUEOS</t>
  </si>
  <si>
    <t>Armadura de plástico</t>
  </si>
  <si>
    <t>Contactos</t>
  </si>
  <si>
    <t>Base de metal</t>
  </si>
  <si>
    <t>Motores</t>
  </si>
  <si>
    <t>Rueda de tensionado</t>
  </si>
  <si>
    <t>Resorte</t>
  </si>
  <si>
    <t>Sistema de sellado</t>
  </si>
  <si>
    <t>Display</t>
  </si>
  <si>
    <t>CONCLUSION</t>
  </si>
  <si>
    <t>DETALLE DE REPARACION</t>
  </si>
  <si>
    <t>Cantidad</t>
  </si>
  <si>
    <t xml:space="preserve">Codigo </t>
  </si>
  <si>
    <t>DESCRIPCION</t>
  </si>
  <si>
    <t>CICLOS</t>
  </si>
  <si>
    <t>MARCAR CON UNA CRUZ LO QUE CORRESPONDA</t>
  </si>
  <si>
    <t>MANO DE OBRA - Modulo reparación Base (3hs) Maq Bateria o Neumatica</t>
  </si>
  <si>
    <t>x</t>
  </si>
  <si>
    <t>MANO DE OBRA - Modulo reparación Base (3hs) Maq Manual</t>
  </si>
  <si>
    <t>Hora Adicional</t>
  </si>
  <si>
    <t>Costo presupuesto maquina Bateria o Neumatica</t>
  </si>
  <si>
    <t>Costo presupuesto maquina Manual</t>
  </si>
  <si>
    <t>Resp. Servicio: David - DML ELECTRICIDAD INDUSTRIAL SRL</t>
  </si>
  <si>
    <t>Mod BAS</t>
  </si>
  <si>
    <t>ST N°</t>
  </si>
  <si>
    <t>Equipo:</t>
  </si>
  <si>
    <t xml:space="preserve">SN:                </t>
  </si>
  <si>
    <t>SN Baterías:</t>
  </si>
  <si>
    <t xml:space="preserve">Cargador: </t>
  </si>
  <si>
    <t>Diagnóstico Depto. Técnico:</t>
  </si>
  <si>
    <t>CONCLUSIÓN</t>
  </si>
  <si>
    <t>CODIGO</t>
  </si>
  <si>
    <t>ITEM</t>
  </si>
  <si>
    <t>A000006</t>
  </si>
  <si>
    <t>HT TENSION MOTOR GROUP</t>
  </si>
  <si>
    <t>A000007</t>
  </si>
  <si>
    <t>LT TENSION MOTOR GROUP</t>
  </si>
  <si>
    <t>A000038</t>
  </si>
  <si>
    <t>WELDING GROUP</t>
  </si>
  <si>
    <t>A000062</t>
  </si>
  <si>
    <t>CUTTER (ITA 40)</t>
  </si>
  <si>
    <t>A000097</t>
  </si>
  <si>
    <t>SIGNALS CARD WITH LIGHT TRANSP</t>
  </si>
  <si>
    <t>A000155</t>
  </si>
  <si>
    <t>SUSPENSION HOOK ITA40-24-25</t>
  </si>
  <si>
    <t>A000177</t>
  </si>
  <si>
    <t>ITA25 TENSION MOTOR GROUP</t>
  </si>
  <si>
    <t>A000178</t>
  </si>
  <si>
    <t>ITA24 TENSION MOTOR GROUP</t>
  </si>
  <si>
    <t>A000179</t>
  </si>
  <si>
    <t>CONNECTING ROD ASS.Y</t>
  </si>
  <si>
    <t>A000180</t>
  </si>
  <si>
    <t>WELDING GROUP ASSEMBLED</t>
  </si>
  <si>
    <t>A000181</t>
  </si>
  <si>
    <t>EXCENTRIC SHAFT ASSEMB.</t>
  </si>
  <si>
    <t>A000184</t>
  </si>
  <si>
    <t>ASSEMBLED FEEDWHEEL SUPPORT</t>
  </si>
  <si>
    <t>A000185</t>
  </si>
  <si>
    <t>CONNECTING LEVER ASS Y</t>
  </si>
  <si>
    <t>A000237</t>
  </si>
  <si>
    <t>EXCENTRIC SHAFT</t>
  </si>
  <si>
    <t>A000238</t>
  </si>
  <si>
    <t>WELDING GROUP ASSEMBLED REVIS</t>
  </si>
  <si>
    <t>A002000</t>
  </si>
  <si>
    <t>MAIN FRAME ASSY</t>
  </si>
  <si>
    <t>A002040</t>
  </si>
  <si>
    <t>A002070</t>
  </si>
  <si>
    <t>WELDING FOOT SUPPORT ASS.Y</t>
  </si>
  <si>
    <t>A004650</t>
  </si>
  <si>
    <t>A800511</t>
  </si>
  <si>
    <t>ASS. DRIVE A6030-Z25 -SERVO</t>
  </si>
  <si>
    <t>B100032</t>
  </si>
  <si>
    <t>PIPE 6X8 (Len.mtrs) (ITA 40)</t>
  </si>
  <si>
    <t>B100310</t>
  </si>
  <si>
    <t>SWING ELBOW RL31 8 1/4 (ITA 40)</t>
  </si>
  <si>
    <t>B100311</t>
  </si>
  <si>
    <t>ORING</t>
  </si>
  <si>
    <t>B200308</t>
  </si>
  <si>
    <t>FAST AIR CONN. ANI 64MF 8X10</t>
  </si>
  <si>
    <t>B300019</t>
  </si>
  <si>
    <t>O-RING GASKET RING</t>
  </si>
  <si>
    <t>B300019L</t>
  </si>
  <si>
    <t>B300022</t>
  </si>
  <si>
    <t>O-RING 3300 D85</t>
  </si>
  <si>
    <t>B300428</t>
  </si>
  <si>
    <t>O-RING 103</t>
  </si>
  <si>
    <t>B300429</t>
  </si>
  <si>
    <t>O-RING 101</t>
  </si>
  <si>
    <t>B400001</t>
  </si>
  <si>
    <t>ROLLER BEARING BK0810 (IT 10/12)</t>
  </si>
  <si>
    <t>B400003</t>
  </si>
  <si>
    <t>ROLLER HK0808</t>
  </si>
  <si>
    <t>B400186</t>
  </si>
  <si>
    <t>BEARING 61808-RS1</t>
  </si>
  <si>
    <t>B400187</t>
  </si>
  <si>
    <t>ROLLER BEARING 5X8X8</t>
  </si>
  <si>
    <t>B400188</t>
  </si>
  <si>
    <t>INA HF0812</t>
  </si>
  <si>
    <t>B400332</t>
  </si>
  <si>
    <t>609 ZZ SKF</t>
  </si>
  <si>
    <t>B400333</t>
  </si>
  <si>
    <t>BEARING 61902ZZ</t>
  </si>
  <si>
    <t>B400480</t>
  </si>
  <si>
    <t>HK1214</t>
  </si>
  <si>
    <t>B500035</t>
  </si>
  <si>
    <t>SCREW TCEI M4X10 UNI5931</t>
  </si>
  <si>
    <t>B500036L</t>
  </si>
  <si>
    <t>SCREW</t>
  </si>
  <si>
    <t>B500037</t>
  </si>
  <si>
    <t>SCREW TCEI M4X8 UNI 5931</t>
  </si>
  <si>
    <t>B500039</t>
  </si>
  <si>
    <t>SCREW TCEI UNC 10X1/2'</t>
  </si>
  <si>
    <t>B500041</t>
  </si>
  <si>
    <t>SCREW TCEI M4X30 UNI5931</t>
  </si>
  <si>
    <t>B500044</t>
  </si>
  <si>
    <t>SCREW TCEI M4X45UNI5931</t>
  </si>
  <si>
    <t>B500048</t>
  </si>
  <si>
    <t>SCREW TPSCE M4X6 UNI5933</t>
  </si>
  <si>
    <t>B500049</t>
  </si>
  <si>
    <t>SCREW TCEI M4X6 DIN 7984</t>
  </si>
  <si>
    <t>B500068</t>
  </si>
  <si>
    <t>SCREW TCEI M3X8 UNI5931</t>
  </si>
  <si>
    <t>B500092</t>
  </si>
  <si>
    <t>SCREW UNC 1/4X1-1/2" (ITA 40)</t>
  </si>
  <si>
    <t>B500140</t>
  </si>
  <si>
    <t>SCREW TCEI M5X30 UNI5931</t>
  </si>
  <si>
    <t>B500202</t>
  </si>
  <si>
    <t>VITE TCEI M4X20 UNI5931</t>
  </si>
  <si>
    <t>B500208</t>
  </si>
  <si>
    <t>SCREW TBCR BN13577 3,5X20 KA35</t>
  </si>
  <si>
    <t>B500211</t>
  </si>
  <si>
    <t>LOCK. WASHER - ITA 25</t>
  </si>
  <si>
    <t>B500214</t>
  </si>
  <si>
    <t>SCREW TPSCE M4X8UNI5933</t>
  </si>
  <si>
    <t>B500273</t>
  </si>
  <si>
    <t>SCREW TCEI M3X10 UNI 5931</t>
  </si>
  <si>
    <t>B500275</t>
  </si>
  <si>
    <t>SCREW TCI M2X10 UNI 6107</t>
  </si>
  <si>
    <t>B500336</t>
  </si>
  <si>
    <t>SCREW TSPCE M4X10 UNI 5933</t>
  </si>
  <si>
    <t>B500379</t>
  </si>
  <si>
    <t>SCREW STEI M4X5 UNI 5923</t>
  </si>
  <si>
    <t>B500395</t>
  </si>
  <si>
    <t>SCREW 3.5X16</t>
  </si>
  <si>
    <t>B500418</t>
  </si>
  <si>
    <t>SCREW UNC 10-24X3/8' ANSI B18.3</t>
  </si>
  <si>
    <t>B500464</t>
  </si>
  <si>
    <t>SCHNORR W.R150 DIAM.3 - ITA 25</t>
  </si>
  <si>
    <t>B500465</t>
  </si>
  <si>
    <t>SCREW TCEI M5X14 UNI5931</t>
  </si>
  <si>
    <t>B500522</t>
  </si>
  <si>
    <t>SCREW TBCR BN13577 3,5X30 KA35</t>
  </si>
  <si>
    <t>B500523</t>
  </si>
  <si>
    <t>CYLINDER SCREW M3x6 UNI5931</t>
  </si>
  <si>
    <t>B500524</t>
  </si>
  <si>
    <t>SCREW TBIC M5X10 UNI7687</t>
  </si>
  <si>
    <t>B500548</t>
  </si>
  <si>
    <t>SCREW STEI M4X8 UNI 5923</t>
  </si>
  <si>
    <t>B600013</t>
  </si>
  <si>
    <t>CIRCLIP NACIONALES</t>
  </si>
  <si>
    <t>B600059</t>
  </si>
  <si>
    <t>CUP WASHE CB 25x12,2x1,5 (10/12)</t>
  </si>
  <si>
    <t>B600112</t>
  </si>
  <si>
    <t>WASHER PS12X18X0.5 DIN988</t>
  </si>
  <si>
    <t>B600159</t>
  </si>
  <si>
    <t>CIRCLIP A12 DIN 471</t>
  </si>
  <si>
    <t>B600189</t>
  </si>
  <si>
    <t>CIRCLIP RA3.2 DIN6799</t>
  </si>
  <si>
    <t>B600190</t>
  </si>
  <si>
    <t>CIRCLIP D8 7435</t>
  </si>
  <si>
    <t>B600192</t>
  </si>
  <si>
    <t>SAFETY CIRCLIPS D4 BN13193</t>
  </si>
  <si>
    <t>B600343</t>
  </si>
  <si>
    <t>SPRING G13-025 ISO10243</t>
  </si>
  <si>
    <t>B600345</t>
  </si>
  <si>
    <t>CIRCLIP D34 UNI 7435</t>
  </si>
  <si>
    <t>B600376</t>
  </si>
  <si>
    <t>WASHER PS 15X21X0.5</t>
  </si>
  <si>
    <t>B600389</t>
  </si>
  <si>
    <t>WASHER PS 22x30x0,2</t>
  </si>
  <si>
    <t>B600391</t>
  </si>
  <si>
    <t>WASHER PS 6X12X0.2</t>
  </si>
  <si>
    <t>B600402</t>
  </si>
  <si>
    <t>CIRCLIP RA4 UNI 7434</t>
  </si>
  <si>
    <t>B600457</t>
  </si>
  <si>
    <t>CIRCLIP D7 DIN 471</t>
  </si>
  <si>
    <t>B700101</t>
  </si>
  <si>
    <t>PIN 6X28 DIN6325</t>
  </si>
  <si>
    <t>B700103</t>
  </si>
  <si>
    <t>ELASTIC PIN 3x10 UNI6874</t>
  </si>
  <si>
    <t>B700325</t>
  </si>
  <si>
    <t>SPHERE DIAM .5MM</t>
  </si>
  <si>
    <t>B700419</t>
  </si>
  <si>
    <t>ELASTIC PIN4X20 U6874</t>
  </si>
  <si>
    <t>B700525</t>
  </si>
  <si>
    <t>PIN 6X20 ISO8735</t>
  </si>
  <si>
    <t>B800364</t>
  </si>
  <si>
    <t>ELECTRONIC POWER CARD (ITA 20)</t>
  </si>
  <si>
    <t>B800366</t>
  </si>
  <si>
    <t>KEYBOARD</t>
  </si>
  <si>
    <t>B800378</t>
  </si>
  <si>
    <t>WELDING SWITCH WITH CABLE</t>
  </si>
  <si>
    <t>B800396</t>
  </si>
  <si>
    <t>TENSION MICROSWITCH</t>
  </si>
  <si>
    <t>B800397</t>
  </si>
  <si>
    <t>POWER CABLES KIT</t>
  </si>
  <si>
    <t>B800424</t>
  </si>
  <si>
    <t>ELECTRONIC POWER CARD</t>
  </si>
  <si>
    <t>B800460</t>
  </si>
  <si>
    <t>WELDING SWITCH WITH CABLE D2FD</t>
  </si>
  <si>
    <t>B800479</t>
  </si>
  <si>
    <t>CABLE CONNECTION BACKWORDS COMPA</t>
  </si>
  <si>
    <t>B800510</t>
  </si>
  <si>
    <t>OPERATING BUTTON</t>
  </si>
  <si>
    <t>B800515</t>
  </si>
  <si>
    <t>B800530</t>
  </si>
  <si>
    <t>CONNECTION CABLE</t>
  </si>
  <si>
    <t>B800531</t>
  </si>
  <si>
    <t>ELECTRONIC SIGNALS CARD-N</t>
  </si>
  <si>
    <t>B800532</t>
  </si>
  <si>
    <t>POWER CARD ITA 24</t>
  </si>
  <si>
    <t>B800533</t>
  </si>
  <si>
    <t>POWER CARD ITA 25</t>
  </si>
  <si>
    <t>B800534</t>
  </si>
  <si>
    <t>CONNECTION CABLE-N</t>
  </si>
  <si>
    <t>B800583</t>
  </si>
  <si>
    <t>BATTERY CONNECTION CARD</t>
  </si>
  <si>
    <t>D000010</t>
  </si>
  <si>
    <t>WELDING FOOT PIN</t>
  </si>
  <si>
    <t>D000200</t>
  </si>
  <si>
    <t>FRONT GUIDESTRAP</t>
  </si>
  <si>
    <t>D000250</t>
  </si>
  <si>
    <t>D000280</t>
  </si>
  <si>
    <t>REAR GUIDESTRAP SPRING</t>
  </si>
  <si>
    <t>D000330</t>
  </si>
  <si>
    <t>FREEWHELL SUPPORT</t>
  </si>
  <si>
    <t>D000390</t>
  </si>
  <si>
    <t>LOCKING COVER</t>
  </si>
  <si>
    <t>D000400</t>
  </si>
  <si>
    <t>GEAR</t>
  </si>
  <si>
    <t>D000430</t>
  </si>
  <si>
    <t>EPICICLOIDAL GEARBOX</t>
  </si>
  <si>
    <t>D000620</t>
  </si>
  <si>
    <t>MEDIUM SPRING (ITA 10)</t>
  </si>
  <si>
    <t>D000670</t>
  </si>
  <si>
    <t>VALVE SPRING (ITA 40)</t>
  </si>
  <si>
    <t>D000780</t>
  </si>
  <si>
    <t>LOCKING STRAP PLATE (ITA 10/12)</t>
  </si>
  <si>
    <t>D001140</t>
  </si>
  <si>
    <t>TENSION SPRING BE.C</t>
  </si>
  <si>
    <t>D001250</t>
  </si>
  <si>
    <t>WELDING FOOT (ITA 10/12)</t>
  </si>
  <si>
    <t>D001260</t>
  </si>
  <si>
    <t>CUTTER (ITA 10/12)</t>
  </si>
  <si>
    <t>D001420</t>
  </si>
  <si>
    <t>SPECIAL M3 SCREW</t>
  </si>
  <si>
    <t>D001600</t>
  </si>
  <si>
    <t>PISTON (ITA 12)</t>
  </si>
  <si>
    <t>D001630</t>
  </si>
  <si>
    <t>CONNECTING ROD (ITA 10/12)</t>
  </si>
  <si>
    <t>D001650</t>
  </si>
  <si>
    <t>WELDING FOOT PIN .</t>
  </si>
  <si>
    <t>D001670</t>
  </si>
  <si>
    <t>OPENING LEVER</t>
  </si>
  <si>
    <t>D001680</t>
  </si>
  <si>
    <t>D001710</t>
  </si>
  <si>
    <t>PISTON SPRING (ITA 10/12)</t>
  </si>
  <si>
    <t>D001720</t>
  </si>
  <si>
    <t>STRONG CUTTER SPRING (ITA 12)</t>
  </si>
  <si>
    <t>D001740</t>
  </si>
  <si>
    <t>CROWN</t>
  </si>
  <si>
    <t>D001770</t>
  </si>
  <si>
    <t>SHAFT</t>
  </si>
  <si>
    <t>D001780</t>
  </si>
  <si>
    <t>SPECIAL NUT</t>
  </si>
  <si>
    <t>D001790</t>
  </si>
  <si>
    <t>FEEDWHEEL</t>
  </si>
  <si>
    <t>D001820</t>
  </si>
  <si>
    <t>SIDE GUIDE STRAP 19MM</t>
  </si>
  <si>
    <t>D001940</t>
  </si>
  <si>
    <t>SIDE GUIDESTRAP 10MM</t>
  </si>
  <si>
    <t>D001960</t>
  </si>
  <si>
    <t>REAR FRICTION PLATE (ITA 10/12)</t>
  </si>
  <si>
    <t>D001970</t>
  </si>
  <si>
    <t>FRUCTION PLATE (ITA 10/12)</t>
  </si>
  <si>
    <t>D001980</t>
  </si>
  <si>
    <t>FEEDWHEEL (ITA 10/12)</t>
  </si>
  <si>
    <t>D001990</t>
  </si>
  <si>
    <t>FRONT FRICTION PLATE (ITA 10/12)</t>
  </si>
  <si>
    <t>D002010</t>
  </si>
  <si>
    <t>WELDING FOOT</t>
  </si>
  <si>
    <t>D002020</t>
  </si>
  <si>
    <t>D002050</t>
  </si>
  <si>
    <t>D002060</t>
  </si>
  <si>
    <t>SUPPORT</t>
  </si>
  <si>
    <t>D002080</t>
  </si>
  <si>
    <t>SPRING SUPPORT</t>
  </si>
  <si>
    <t>D002120</t>
  </si>
  <si>
    <t>CUTTER</t>
  </si>
  <si>
    <t>D002130</t>
  </si>
  <si>
    <t>CUTTER GUIDE</t>
  </si>
  <si>
    <t>D002140</t>
  </si>
  <si>
    <t>COVER</t>
  </si>
  <si>
    <t>D002150</t>
  </si>
  <si>
    <t>SUPPORT FEEDWHEEL</t>
  </si>
  <si>
    <t>D002170</t>
  </si>
  <si>
    <t>D002190</t>
  </si>
  <si>
    <t>HOOK</t>
  </si>
  <si>
    <t>D002200</t>
  </si>
  <si>
    <t>D002220</t>
  </si>
  <si>
    <t>WELDING MOTOR FLANGE</t>
  </si>
  <si>
    <t>D002230</t>
  </si>
  <si>
    <t>WELDING CAM</t>
  </si>
  <si>
    <t>D002240</t>
  </si>
  <si>
    <t>SPRING SHAFT</t>
  </si>
  <si>
    <t>D002250</t>
  </si>
  <si>
    <t>D002260</t>
  </si>
  <si>
    <t>SUPPORT PIN</t>
  </si>
  <si>
    <t>D002280</t>
  </si>
  <si>
    <t>CAM PIN</t>
  </si>
  <si>
    <t>D002300</t>
  </si>
  <si>
    <t>WELDING GROUP SPRING</t>
  </si>
  <si>
    <t>D002310</t>
  </si>
  <si>
    <t>CUTTER SPRING</t>
  </si>
  <si>
    <t>D002330</t>
  </si>
  <si>
    <t>TENSION FEEDWHEEL</t>
  </si>
  <si>
    <t>D002350</t>
  </si>
  <si>
    <t>D002990</t>
  </si>
  <si>
    <t>D003100</t>
  </si>
  <si>
    <t>LEVER PA6FV V1 RAL</t>
  </si>
  <si>
    <t>D003110</t>
  </si>
  <si>
    <t>CUTTER SPRING (ITA 40)</t>
  </si>
  <si>
    <t>D003120</t>
  </si>
  <si>
    <t>SPRING (ITA 40)</t>
  </si>
  <si>
    <t>D003360</t>
  </si>
  <si>
    <t>RIGHT COVER</t>
  </si>
  <si>
    <t>D003370</t>
  </si>
  <si>
    <t>LEFT COVER</t>
  </si>
  <si>
    <t>D003380</t>
  </si>
  <si>
    <t>KEYBOARD SUPPORT</t>
  </si>
  <si>
    <t>D003390</t>
  </si>
  <si>
    <t>TENSION BUTTON</t>
  </si>
  <si>
    <t>D003450</t>
  </si>
  <si>
    <t>FEEDWHEEL GAP ADJUSTER (ITA 40)</t>
  </si>
  <si>
    <t>D003480</t>
  </si>
  <si>
    <t>ANVIL 19mm 3/4" (ITA 40)</t>
  </si>
  <si>
    <t>D003490</t>
  </si>
  <si>
    <t>ANVIL 16mm 5/8" (ITA 40)</t>
  </si>
  <si>
    <t>D003500</t>
  </si>
  <si>
    <t>ANVIL 13mm 1/2" (ITA 40)</t>
  </si>
  <si>
    <t>D003510</t>
  </si>
  <si>
    <t>LINKER (ITA 40)</t>
  </si>
  <si>
    <t>D003520</t>
  </si>
  <si>
    <t>JAW (ITA 40)</t>
  </si>
  <si>
    <t>D003540</t>
  </si>
  <si>
    <t>FRONT PLATE 13mm 1/2" (ITA 40)</t>
  </si>
  <si>
    <t>D003550</t>
  </si>
  <si>
    <t>FRONT PLATE 16mm 5/8" (ITA 40)</t>
  </si>
  <si>
    <t>D003560</t>
  </si>
  <si>
    <t>FRONT PLATE 19mm 3/4" (ITA 40)</t>
  </si>
  <si>
    <t>D003570</t>
  </si>
  <si>
    <t>REAR PLATE 13mm 1/2" (ITA 40)</t>
  </si>
  <si>
    <t>D003580</t>
  </si>
  <si>
    <t>REAR PLATE 16mm 5/8" (ITA 40)</t>
  </si>
  <si>
    <t>D003590</t>
  </si>
  <si>
    <t>REAR PLATE 19mm 3/4" (ITA 40)</t>
  </si>
  <si>
    <t>D003640</t>
  </si>
  <si>
    <t>FEEDWHEEL (ITA 40)</t>
  </si>
  <si>
    <t>D003770</t>
  </si>
  <si>
    <t>COVER GASKET (ITA 40)</t>
  </si>
  <si>
    <t>D004270</t>
  </si>
  <si>
    <t>TENSION BUTTON SPRING</t>
  </si>
  <si>
    <t>D004540</t>
  </si>
  <si>
    <t>D004560</t>
  </si>
  <si>
    <t>SPECIAL SCREW SPRING HOLDER</t>
  </si>
  <si>
    <t>D004570</t>
  </si>
  <si>
    <t>WELDING FOOT ITA11-12</t>
  </si>
  <si>
    <t>D004580</t>
  </si>
  <si>
    <t>WELDING PLATE (ITA 20)</t>
  </si>
  <si>
    <t>D004600</t>
  </si>
  <si>
    <t>WELDING PLATE</t>
  </si>
  <si>
    <t>D004610</t>
  </si>
  <si>
    <t>D004620</t>
  </si>
  <si>
    <t>D004630</t>
  </si>
  <si>
    <t>HT FRONT GUIDESTRAP</t>
  </si>
  <si>
    <t>D004640</t>
  </si>
  <si>
    <t>D004660</t>
  </si>
  <si>
    <t>REAR GUIDESTRAP PIN HT</t>
  </si>
  <si>
    <t>D004670</t>
  </si>
  <si>
    <t>WELDING MOTOR SUPPORT</t>
  </si>
  <si>
    <t>D004710</t>
  </si>
  <si>
    <t>LEVER HT-PA6FV V1</t>
  </si>
  <si>
    <t>D004720</t>
  </si>
  <si>
    <t>HT TENSION BUTTON</t>
  </si>
  <si>
    <t>D004730</t>
  </si>
  <si>
    <t>HT KEYBOARD SUPPORT</t>
  </si>
  <si>
    <t>D004740</t>
  </si>
  <si>
    <t>HT COVER</t>
  </si>
  <si>
    <t>D005260</t>
  </si>
  <si>
    <t>WELDING LEVER</t>
  </si>
  <si>
    <t>D005270</t>
  </si>
  <si>
    <t>LINKER</t>
  </si>
  <si>
    <t>D005280</t>
  </si>
  <si>
    <t>PISTON</t>
  </si>
  <si>
    <t>D005700</t>
  </si>
  <si>
    <t>LOCKING STRAP PLATE (ITA 11)</t>
  </si>
  <si>
    <t>D005860</t>
  </si>
  <si>
    <t>D005870</t>
  </si>
  <si>
    <t>D006030</t>
  </si>
  <si>
    <t>SPRING</t>
  </si>
  <si>
    <t>D006050</t>
  </si>
  <si>
    <t>TENSION FEEDWHEEL ITA25 .</t>
  </si>
  <si>
    <t>D006060</t>
  </si>
  <si>
    <t>WELDING FRAME</t>
  </si>
  <si>
    <t>D006110</t>
  </si>
  <si>
    <t>TENSION FEEDWHEEL ITA24</t>
  </si>
  <si>
    <t>D006120</t>
  </si>
  <si>
    <t>WEAR PLATE</t>
  </si>
  <si>
    <t>D006130</t>
  </si>
  <si>
    <t>WELDING MOTOR FLANGE .</t>
  </si>
  <si>
    <t>D006140</t>
  </si>
  <si>
    <t>SUPPORT PIN .</t>
  </si>
  <si>
    <t>D006180</t>
  </si>
  <si>
    <t>SIDE GUIDESTRAP 16mm 5/8</t>
  </si>
  <si>
    <t>D006190</t>
  </si>
  <si>
    <t>SIDE GUIDESTRAP 19mm 3/4</t>
  </si>
  <si>
    <t>D006270</t>
  </si>
  <si>
    <t>PIN</t>
  </si>
  <si>
    <t>D006280</t>
  </si>
  <si>
    <t>REAR GUIDESTRAP PIN</t>
  </si>
  <si>
    <t>D006300</t>
  </si>
  <si>
    <t>MAIN FRAME</t>
  </si>
  <si>
    <t>D006350</t>
  </si>
  <si>
    <t>D006420</t>
  </si>
  <si>
    <t>UPPER COVER ORANGE</t>
  </si>
  <si>
    <t>D006430</t>
  </si>
  <si>
    <t>BOTTOM PLASTIC TOOL COVER</t>
  </si>
  <si>
    <t>D006440</t>
  </si>
  <si>
    <t>D006450</t>
  </si>
  <si>
    <t>HANDLE</t>
  </si>
  <si>
    <t>D006460</t>
  </si>
  <si>
    <t>D006510</t>
  </si>
  <si>
    <t>GUIDESTRAP PIN</t>
  </si>
  <si>
    <t>D006570</t>
  </si>
  <si>
    <t>D007030</t>
  </si>
  <si>
    <t>SPECIAL SCREW</t>
  </si>
  <si>
    <t>B6001-2Z</t>
  </si>
  <si>
    <t>BUSHING 6001 2Z</t>
  </si>
  <si>
    <t>SP00903</t>
  </si>
  <si>
    <t xml:space="preserve">CUTTING SET </t>
  </si>
  <si>
    <t>SP00321</t>
  </si>
  <si>
    <t>FMS, M5X8 (SUS)</t>
  </si>
  <si>
    <t>SP00018</t>
  </si>
  <si>
    <t>LEVER COMPLETE RED</t>
  </si>
  <si>
    <t>SP00023</t>
  </si>
  <si>
    <t>NOSE HOOK</t>
  </si>
  <si>
    <t>SP00048</t>
  </si>
  <si>
    <t>KNIFE COMPLETE CT-25</t>
  </si>
  <si>
    <t>SP00327</t>
  </si>
  <si>
    <t>CLAMP PLATE CTT-40</t>
  </si>
  <si>
    <t>SP00329</t>
  </si>
  <si>
    <t>SPRING FOR CLAMP</t>
  </si>
  <si>
    <t>SP00351</t>
  </si>
  <si>
    <t>KNIFE COMPLETE CT-40</t>
  </si>
  <si>
    <t>S55</t>
  </si>
  <si>
    <t>SEGUER 55</t>
  </si>
  <si>
    <t>GCT25</t>
  </si>
  <si>
    <t>GANCHOS CT25</t>
  </si>
  <si>
    <t>GCTT40</t>
  </si>
  <si>
    <t>GANCHOS CTT40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</si>
</sst>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€_-;\-* #,##0.00\ _€_-;_-* \-??\ _€_-;_-@_-"/>
    <numFmt numFmtId="177" formatCode="_ * #,##0_ ;_ * \-#,##0_ ;_ * &quot;-&quot;_ ;_ @_ "/>
    <numFmt numFmtId="178" formatCode="0&quot; &quot;%"/>
    <numFmt numFmtId="179" formatCode="#,##0.00\ [$€-C0A]"/>
  </numFmts>
  <fonts count="43">
    <font>
      <sz val="10"/>
      <name val="Arial"/>
      <charset val="1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0"/>
      <name val="Arial"/>
      <charset val="1"/>
    </font>
    <font>
      <sz val="20"/>
      <name val="Arial"/>
      <charset val="1"/>
    </font>
    <font>
      <b/>
      <sz val="20"/>
      <name val="Arial"/>
      <charset val="1"/>
    </font>
    <font>
      <b/>
      <sz val="14"/>
      <name val="Arial"/>
      <charset val="134"/>
    </font>
    <font>
      <b/>
      <sz val="12"/>
      <name val="Arial"/>
      <charset val="134"/>
    </font>
    <font>
      <b/>
      <u/>
      <sz val="12"/>
      <name val="Arial"/>
      <charset val="134"/>
    </font>
    <font>
      <b/>
      <sz val="12"/>
      <name val="Arial"/>
      <charset val="1"/>
    </font>
    <font>
      <b/>
      <sz val="14"/>
      <name val="Arial"/>
      <charset val="1"/>
    </font>
    <font>
      <sz val="10"/>
      <name val="Arial"/>
      <charset val="1"/>
    </font>
    <font>
      <sz val="10"/>
      <name val="Arial"/>
      <charset val="134"/>
    </font>
    <font>
      <sz val="11"/>
      <name val="Arial"/>
      <charset val="134"/>
    </font>
    <font>
      <sz val="10"/>
      <color rgb="FFED0000"/>
      <name val="Arial"/>
      <charset val="134"/>
    </font>
    <font>
      <sz val="11"/>
      <name val="Arial"/>
      <charset val="1"/>
    </font>
    <font>
      <b/>
      <sz val="10"/>
      <color rgb="FF0066FF"/>
      <name val="Arial"/>
      <charset val="1"/>
    </font>
    <font>
      <b/>
      <u/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theme="6"/>
      </patternFill>
    </fill>
    <fill>
      <patternFill patternType="solid">
        <fgColor theme="0"/>
        <bgColor theme="6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A2D2B1"/>
      </left>
      <right style="thin">
        <color rgb="FFA2D2B1"/>
      </right>
      <top style="thin">
        <color rgb="FFA2D2B1"/>
      </top>
      <bottom style="thin">
        <color rgb="FFA2D2B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Protection="0"/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8" borderId="2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32" applyNumberFormat="0" applyAlignment="0" applyProtection="0">
      <alignment vertical="center"/>
    </xf>
    <xf numFmtId="0" fontId="31" fillId="10" borderId="33" applyNumberFormat="0" applyAlignment="0" applyProtection="0">
      <alignment vertical="center"/>
    </xf>
    <xf numFmtId="0" fontId="32" fillId="10" borderId="32" applyNumberFormat="0" applyAlignment="0" applyProtection="0">
      <alignment vertical="center"/>
    </xf>
    <xf numFmtId="0" fontId="33" fillId="11" borderId="34" applyNumberFormat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9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4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5" borderId="2" xfId="0" applyFont="1" applyFill="1" applyBorder="1"/>
    <xf numFmtId="0" fontId="6" fillId="0" borderId="3" xfId="0" applyFont="1" applyBorder="1"/>
    <xf numFmtId="0" fontId="0" fillId="0" borderId="4" xfId="0" applyBorder="1" applyAlignment="1">
      <alignment horizontal="left"/>
    </xf>
    <xf numFmtId="0" fontId="6" fillId="0" borderId="5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5" xfId="0" applyBorder="1"/>
    <xf numFmtId="9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7" fillId="6" borderId="0" xfId="1" applyNumberFormat="1" applyFont="1" applyFill="1" applyBorder="1" applyAlignment="1" applyProtection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8" xfId="0" applyBorder="1"/>
    <xf numFmtId="0" fontId="9" fillId="0" borderId="11" xfId="0" applyFont="1" applyBorder="1"/>
    <xf numFmtId="58" fontId="10" fillId="0" borderId="12" xfId="0" applyNumberFormat="1" applyFont="1" applyBorder="1" applyAlignment="1">
      <alignment horizontal="center"/>
    </xf>
    <xf numFmtId="58" fontId="10" fillId="6" borderId="12" xfId="0" applyNumberFormat="1" applyFont="1" applyFill="1" applyBorder="1"/>
    <xf numFmtId="0" fontId="10" fillId="0" borderId="12" xfId="0" applyFont="1" applyBorder="1"/>
    <xf numFmtId="0" fontId="10" fillId="0" borderId="13" xfId="0" applyFont="1" applyBorder="1"/>
    <xf numFmtId="0" fontId="3" fillId="0" borderId="14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5" xfId="0" applyFont="1" applyBorder="1"/>
    <xf numFmtId="0" fontId="10" fillId="0" borderId="1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6" borderId="0" xfId="0" applyFont="1" applyFill="1"/>
    <xf numFmtId="0" fontId="11" fillId="0" borderId="0" xfId="0" applyFont="1"/>
    <xf numFmtId="0" fontId="10" fillId="0" borderId="14" xfId="0" applyFont="1" applyBorder="1"/>
    <xf numFmtId="0" fontId="10" fillId="0" borderId="0" xfId="0" applyFont="1" applyAlignment="1">
      <alignment horizontal="right"/>
    </xf>
    <xf numFmtId="0" fontId="3" fillId="6" borderId="15" xfId="0" applyFont="1" applyFill="1" applyBorder="1"/>
    <xf numFmtId="58" fontId="10" fillId="6" borderId="0" xfId="0" applyNumberFormat="1" applyFont="1" applyFill="1"/>
    <xf numFmtId="0" fontId="3" fillId="6" borderId="15" xfId="0" applyFont="1" applyFill="1" applyBorder="1" applyAlignment="1">
      <alignment horizontal="right"/>
    </xf>
    <xf numFmtId="0" fontId="10" fillId="0" borderId="16" xfId="0" applyFont="1" applyBorder="1"/>
    <xf numFmtId="0" fontId="10" fillId="0" borderId="17" xfId="0" applyFont="1" applyBorder="1" applyAlignment="1">
      <alignment horizontal="center"/>
    </xf>
    <xf numFmtId="0" fontId="10" fillId="0" borderId="17" xfId="0" applyFont="1" applyBorder="1"/>
    <xf numFmtId="0" fontId="10" fillId="0" borderId="17" xfId="0" applyFont="1" applyBorder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18" xfId="0" applyFont="1" applyBorder="1"/>
    <xf numFmtId="0" fontId="13" fillId="7" borderId="19" xfId="0" applyFont="1" applyFill="1" applyBorder="1" applyAlignment="1">
      <alignment horizontal="center"/>
    </xf>
    <xf numFmtId="0" fontId="14" fillId="0" borderId="19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4" fillId="0" borderId="14" xfId="0" applyFont="1" applyBorder="1" applyAlignment="1">
      <alignment vertical="top"/>
    </xf>
    <xf numFmtId="178" fontId="14" fillId="0" borderId="15" xfId="0" applyNumberFormat="1" applyFont="1" applyBorder="1" applyAlignment="1">
      <alignment horizontal="center" vertical="top"/>
    </xf>
    <xf numFmtId="0" fontId="14" fillId="0" borderId="15" xfId="0" applyFont="1" applyBorder="1" applyAlignment="1">
      <alignment vertical="top"/>
    </xf>
    <xf numFmtId="0" fontId="14" fillId="0" borderId="16" xfId="0" applyFont="1" applyBorder="1" applyAlignment="1">
      <alignment vertical="top"/>
    </xf>
    <xf numFmtId="178" fontId="14" fillId="0" borderId="20" xfId="0" applyNumberFormat="1" applyFont="1" applyBorder="1" applyAlignment="1">
      <alignment horizontal="center" vertical="top"/>
    </xf>
    <xf numFmtId="0" fontId="14" fillId="0" borderId="17" xfId="0" applyFont="1" applyBorder="1" applyAlignment="1">
      <alignment vertical="top"/>
    </xf>
    <xf numFmtId="0" fontId="14" fillId="0" borderId="20" xfId="0" applyFont="1" applyBorder="1" applyAlignment="1">
      <alignment vertical="top"/>
    </xf>
    <xf numFmtId="0" fontId="6" fillId="0" borderId="19" xfId="0" applyFont="1" applyBorder="1" applyAlignment="1">
      <alignment horizontal="justify" vertical="top"/>
    </xf>
    <xf numFmtId="0" fontId="0" fillId="0" borderId="0" xfId="0" applyAlignment="1">
      <alignment horizontal="justify" vertical="top"/>
    </xf>
    <xf numFmtId="0" fontId="0" fillId="0" borderId="0" xfId="0" applyAlignment="1">
      <alignment horizontal="center" vertical="top"/>
    </xf>
    <xf numFmtId="0" fontId="13" fillId="7" borderId="21" xfId="0" applyFont="1" applyFill="1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16" fillId="0" borderId="19" xfId="0" applyFont="1" applyBorder="1" applyAlignment="1">
      <alignment horizontal="center" vertical="center"/>
    </xf>
    <xf numFmtId="0" fontId="15" fillId="0" borderId="19" xfId="0" applyFont="1" applyBorder="1"/>
    <xf numFmtId="0" fontId="17" fillId="0" borderId="19" xfId="0" applyFont="1" applyBorder="1"/>
    <xf numFmtId="0" fontId="18" fillId="0" borderId="19" xfId="0" applyFont="1" applyBorder="1" applyAlignment="1">
      <alignment horizontal="center" vertical="center"/>
    </xf>
    <xf numFmtId="0" fontId="15" fillId="5" borderId="19" xfId="0" applyFont="1" applyFill="1" applyBorder="1"/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3" fillId="6" borderId="24" xfId="0" applyFont="1" applyFill="1" applyBorder="1" applyAlignment="1">
      <alignment horizontal="center" vertical="top"/>
    </xf>
    <xf numFmtId="0" fontId="3" fillId="6" borderId="25" xfId="0" applyFont="1" applyFill="1" applyBorder="1" applyAlignment="1">
      <alignment horizontal="center" vertical="top"/>
    </xf>
    <xf numFmtId="0" fontId="3" fillId="6" borderId="26" xfId="0" applyFont="1" applyFill="1" applyBorder="1" applyAlignment="1">
      <alignment horizontal="center" vertical="top"/>
    </xf>
    <xf numFmtId="0" fontId="15" fillId="0" borderId="24" xfId="0" applyFont="1" applyBorder="1" applyAlignment="1">
      <alignment horizontal="left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24" xfId="0" applyBorder="1" applyAlignment="1">
      <alignment horizontal="left" vertical="top"/>
    </xf>
    <xf numFmtId="0" fontId="19" fillId="0" borderId="0" xfId="0" applyFont="1" applyAlignment="1">
      <alignment horizontal="right" vertical="top"/>
    </xf>
    <xf numFmtId="179" fontId="6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20" fillId="0" borderId="28" xfId="0" applyFont="1" applyBorder="1" applyAlignment="1">
      <alignment horizontal="left" vertical="top"/>
    </xf>
    <xf numFmtId="0" fontId="14" fillId="0" borderId="9" xfId="0" applyFon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FF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000"/>
      <rgbColor rgb="00FF9900"/>
      <rgbColor rgb="00FF6600"/>
      <rgbColor rgb="00558ED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6AB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495360</xdr:colOff>
      <xdr:row>0</xdr:row>
      <xdr:rowOff>0</xdr:rowOff>
    </xdr:from>
    <xdr:to>
      <xdr:col>5</xdr:col>
      <xdr:colOff>133560</xdr:colOff>
      <xdr:row>0</xdr:row>
      <xdr:rowOff>360</xdr:rowOff>
    </xdr:to>
    <xdr:pic>
      <xdr:nvPicPr>
        <xdr:cNvPr id="2" name="Picture 1" descr="logofinal"/>
        <xdr:cNvPicPr/>
      </xdr:nvPicPr>
      <xdr:blipFill>
        <a:blip r:embed="rId1"/>
        <a:stretch>
          <a:fillRect/>
        </a:stretch>
      </xdr:blipFill>
      <xdr:spPr>
        <a:xfrm>
          <a:off x="6134100" y="0"/>
          <a:ext cx="419100" cy="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693420</xdr:colOff>
      <xdr:row>0</xdr:row>
      <xdr:rowOff>76320</xdr:rowOff>
    </xdr:from>
    <xdr:to>
      <xdr:col>4</xdr:col>
      <xdr:colOff>723600</xdr:colOff>
      <xdr:row>3</xdr:row>
      <xdr:rowOff>22860</xdr:rowOff>
    </xdr:to>
    <xdr:pic>
      <xdr:nvPicPr>
        <xdr:cNvPr id="3" name="Picture 2" descr="logofinal"/>
        <xdr:cNvPicPr/>
      </xdr:nvPicPr>
      <xdr:blipFill>
        <a:blip r:embed="rId2"/>
        <a:stretch>
          <a:fillRect/>
        </a:stretch>
      </xdr:blipFill>
      <xdr:spPr>
        <a:xfrm>
          <a:off x="5027295" y="76200"/>
          <a:ext cx="1334770" cy="60388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157293</xdr:colOff>
      <xdr:row>0</xdr:row>
      <xdr:rowOff>157293</xdr:rowOff>
    </xdr:from>
    <xdr:to>
      <xdr:col>6</xdr:col>
      <xdr:colOff>0</xdr:colOff>
      <xdr:row>34</xdr:row>
      <xdr:rowOff>122339</xdr:rowOff>
    </xdr:to>
    <xdr:sp>
      <xdr:nvSpPr>
        <xdr:cNvPr id="4" name="3 CuadroTexto"/>
        <xdr:cNvSpPr txBox="1"/>
      </xdr:nvSpPr>
      <xdr:spPr>
        <a:xfrm>
          <a:off x="6576695" y="156845"/>
          <a:ext cx="4643755" cy="6642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 b="1" u="sng"/>
            <a:t>INFORME DML</a:t>
          </a:r>
          <a:r>
            <a:rPr lang="es-AR" sz="1600" b="1" u="sng" baseline="0"/>
            <a:t> SOBRE EL EQUIPO EN REVISION</a:t>
          </a:r>
          <a:endParaRPr lang="es-AR" sz="1600" b="1" u="sng" baseline="0"/>
        </a:p>
        <a:p>
          <a:r>
            <a:rPr lang="es-AR" sz="900" b="0" i="1" u="sng" baseline="0">
              <a:solidFill>
                <a:schemeClr val="accent5">
                  <a:lumMod val="75000"/>
                </a:schemeClr>
              </a:solidFill>
            </a:rPr>
            <a:t># eliminar el cuadro una vez concluida la reparacion </a:t>
          </a:r>
          <a:endParaRPr lang="es-AR" sz="900" b="0" i="1" u="sng" baseline="0">
            <a:solidFill>
              <a:schemeClr val="accent5">
                <a:lumMod val="75000"/>
              </a:schemeClr>
            </a:solidFill>
          </a:endParaRPr>
        </a:p>
        <a:p>
          <a:endParaRPr lang="es-AR" sz="900" b="0" i="1" u="sng" baseline="0">
            <a:solidFill>
              <a:schemeClr val="accent5">
                <a:lumMod val="75000"/>
              </a:schemeClr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ESTADO DEL EQUIPO: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CARCAZA NARANJA: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BASE NEGRA: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TAPA RUEDA ARRASTRE: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BASE METALICA: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MANGO: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BOTONES: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PORTA BATERIA: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BATERIA: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COVER: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WEAR PLATE: 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MOTOR DE ARRASTRE: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MOTOR DE SOLDADO: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CUCHILLA: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SERVO: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RUEDA DE ARRASTRE: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none" baseline="0">
              <a:solidFill>
                <a:sysClr val="windowText" lastClr="000000"/>
              </a:solidFill>
            </a:rPr>
            <a:t>RESORTE:</a:t>
          </a:r>
          <a:endParaRPr lang="es-AR" sz="1200" b="0" i="0" u="none" baseline="0">
            <a:solidFill>
              <a:sysClr val="windowText" lastClr="000000"/>
            </a:solidFill>
          </a:endParaRPr>
        </a:p>
        <a:p>
          <a:endParaRPr lang="es-AR" sz="1200" b="0" i="0" u="none" baseline="0">
            <a:solidFill>
              <a:sysClr val="windowText" lastClr="000000"/>
            </a:solidFill>
          </a:endParaRPr>
        </a:p>
        <a:p>
          <a:r>
            <a:rPr lang="es-AR" sz="1200" b="0" i="0" u="sng" baseline="0">
              <a:solidFill>
                <a:sysClr val="windowText" lastClr="000000"/>
              </a:solidFill>
            </a:rPr>
            <a:t>OTROS:</a:t>
          </a:r>
          <a:r>
            <a:rPr lang="es-AR" sz="1200" b="0" i="0" u="sng" baseline="0">
              <a:solidFill>
                <a:srgbClr val="006ABA"/>
              </a:solidFill>
            </a:rPr>
            <a:t> </a:t>
          </a:r>
          <a:endParaRPr lang="es-AR" sz="1400" b="0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zoomScale="109" zoomScaleNormal="109" workbookViewId="0">
      <selection activeCell="C14" sqref="C14"/>
    </sheetView>
  </sheetViews>
  <sheetFormatPr defaultColWidth="10.5714285714286" defaultRowHeight="12.75" outlineLevelCol="5"/>
  <cols>
    <col min="1" max="1" width="23" customWidth="1"/>
    <col min="2" max="2" width="12.5714285714286" style="17" customWidth="1"/>
    <col min="3" max="3" width="29.4285714285714" customWidth="1"/>
    <col min="4" max="4" width="19.5714285714286" customWidth="1"/>
    <col min="5" max="5" width="11.7142857142857" customWidth="1"/>
    <col min="6" max="6" width="72" customWidth="1"/>
  </cols>
  <sheetData>
    <row r="1" spans="1:5">
      <c r="A1" s="18"/>
      <c r="B1" s="19"/>
      <c r="C1" s="20"/>
      <c r="D1" s="20"/>
      <c r="E1" s="21"/>
    </row>
    <row r="2" spans="1:5">
      <c r="A2" s="13" t="s">
        <v>0</v>
      </c>
      <c r="E2" s="12"/>
    </row>
    <row r="3" ht="26.25" spans="1:5">
      <c r="A3" s="22" t="str">
        <f>"000000"</f>
        <v>000000</v>
      </c>
      <c r="B3" s="23" t="s">
        <v>1</v>
      </c>
      <c r="C3" s="23"/>
      <c r="D3" s="24"/>
      <c r="E3" s="12"/>
    </row>
    <row r="4" spans="1:5">
      <c r="A4" s="13"/>
      <c r="E4" s="12"/>
    </row>
    <row r="5" ht="13.5" spans="1:5">
      <c r="A5" s="25"/>
      <c r="B5" s="26"/>
      <c r="C5" s="27"/>
      <c r="D5" s="27"/>
      <c r="E5" s="28"/>
    </row>
    <row r="7" ht="18" spans="1:5">
      <c r="A7" s="29" t="s">
        <v>2</v>
      </c>
      <c r="B7" s="30"/>
      <c r="C7" s="31"/>
      <c r="D7" s="32"/>
      <c r="E7" s="33"/>
    </row>
    <row r="8" ht="15.75" spans="1:5">
      <c r="A8" s="34"/>
      <c r="B8" s="35"/>
      <c r="C8" s="36"/>
      <c r="D8" s="36"/>
      <c r="E8" s="37"/>
    </row>
    <row r="9" ht="15.75" spans="1:5">
      <c r="A9" s="38" t="s">
        <v>3</v>
      </c>
      <c r="B9" s="39"/>
      <c r="C9" s="40"/>
      <c r="D9" s="41"/>
      <c r="E9" s="37"/>
    </row>
    <row r="10" ht="15.75" spans="1:5">
      <c r="A10" s="42"/>
      <c r="B10" s="35"/>
      <c r="C10" s="36"/>
      <c r="D10" s="36"/>
      <c r="E10" s="37"/>
    </row>
    <row r="11" ht="15.75" spans="1:5">
      <c r="A11" s="38" t="s">
        <v>4</v>
      </c>
      <c r="B11" s="39"/>
      <c r="C11" s="40"/>
      <c r="D11" s="36"/>
      <c r="E11" s="37"/>
    </row>
    <row r="12" ht="15.75" spans="1:5">
      <c r="A12" s="38"/>
      <c r="B12" s="35"/>
      <c r="C12" s="39"/>
      <c r="D12" s="36"/>
      <c r="E12" s="37"/>
    </row>
    <row r="13" ht="15.75" spans="1:5">
      <c r="A13" s="42" t="s">
        <v>5</v>
      </c>
      <c r="B13" s="35"/>
      <c r="C13" s="40"/>
      <c r="D13" s="43" t="s">
        <v>6</v>
      </c>
      <c r="E13" s="44"/>
    </row>
    <row r="14" ht="15.75" spans="1:5">
      <c r="A14" s="38" t="s">
        <v>7</v>
      </c>
      <c r="B14" s="39"/>
      <c r="C14" s="45">
        <v>45825</v>
      </c>
      <c r="D14" s="43" t="s">
        <v>8</v>
      </c>
      <c r="E14" s="46"/>
    </row>
    <row r="15" ht="15.75" spans="1:5">
      <c r="A15" s="47"/>
      <c r="B15" s="48"/>
      <c r="C15" s="49"/>
      <c r="D15" s="50" t="s">
        <v>9</v>
      </c>
      <c r="E15" s="46"/>
    </row>
    <row r="16" ht="15.75" spans="1:5">
      <c r="A16" s="51"/>
      <c r="B16" s="52"/>
      <c r="C16" s="51"/>
      <c r="D16" s="51"/>
      <c r="E16" s="53"/>
    </row>
    <row r="17" ht="18" spans="1:5">
      <c r="A17" s="54" t="s">
        <v>10</v>
      </c>
      <c r="B17" s="54"/>
      <c r="C17" s="54"/>
      <c r="D17" s="54"/>
      <c r="E17" s="54"/>
    </row>
    <row r="18" customHeight="1" spans="1:5">
      <c r="A18" s="55" t="s">
        <v>11</v>
      </c>
      <c r="B18" s="55"/>
      <c r="C18" s="55"/>
      <c r="D18" s="55"/>
      <c r="E18" s="55"/>
    </row>
    <row r="19" spans="1:5">
      <c r="A19" s="55"/>
      <c r="B19" s="55"/>
      <c r="C19" s="55"/>
      <c r="D19" s="55"/>
      <c r="E19" s="55"/>
    </row>
    <row r="20" spans="1:5">
      <c r="A20" s="55"/>
      <c r="B20" s="55"/>
      <c r="C20" s="55"/>
      <c r="D20" s="55"/>
      <c r="E20" s="55"/>
    </row>
    <row r="21" spans="1:5">
      <c r="A21" s="56"/>
      <c r="B21" s="57"/>
      <c r="C21" s="56"/>
      <c r="D21" s="56"/>
      <c r="E21" s="56"/>
    </row>
    <row r="22" ht="18" spans="1:5">
      <c r="A22" s="54" t="s">
        <v>12</v>
      </c>
      <c r="B22" s="54"/>
      <c r="C22" s="54" t="s">
        <v>13</v>
      </c>
      <c r="D22" s="54"/>
      <c r="E22" s="54"/>
    </row>
    <row r="23" spans="1:5">
      <c r="A23" s="58" t="s">
        <v>14</v>
      </c>
      <c r="B23" s="59">
        <v>0.8</v>
      </c>
      <c r="C23" s="58" t="s">
        <v>15</v>
      </c>
      <c r="D23" s="56"/>
      <c r="E23" s="60"/>
    </row>
    <row r="24" spans="1:5">
      <c r="A24" s="58" t="s">
        <v>16</v>
      </c>
      <c r="B24" s="59">
        <v>0.8</v>
      </c>
      <c r="C24" s="58" t="s">
        <v>17</v>
      </c>
      <c r="D24" s="56"/>
      <c r="E24" s="60"/>
    </row>
    <row r="25" spans="1:5">
      <c r="A25" s="58" t="s">
        <v>18</v>
      </c>
      <c r="B25" s="59">
        <v>0.8</v>
      </c>
      <c r="C25" s="58" t="s">
        <v>19</v>
      </c>
      <c r="D25" s="56"/>
      <c r="E25" s="60"/>
    </row>
    <row r="26" spans="1:5">
      <c r="A26" s="61" t="s">
        <v>20</v>
      </c>
      <c r="B26" s="62">
        <v>0.8</v>
      </c>
      <c r="C26" s="61" t="s">
        <v>21</v>
      </c>
      <c r="D26" s="63"/>
      <c r="E26" s="64"/>
    </row>
    <row r="28" ht="18" spans="1:5">
      <c r="A28" s="54" t="s">
        <v>22</v>
      </c>
      <c r="B28" s="54"/>
      <c r="C28" s="54"/>
      <c r="D28" s="54"/>
      <c r="E28" s="54"/>
    </row>
    <row r="29" spans="1:5">
      <c r="A29" s="65"/>
      <c r="B29" s="65"/>
      <c r="C29" s="65"/>
      <c r="D29" s="65"/>
      <c r="E29" s="65"/>
    </row>
    <row r="30" spans="1:5">
      <c r="A30" s="65"/>
      <c r="B30" s="65"/>
      <c r="C30" s="65"/>
      <c r="D30" s="65"/>
      <c r="E30" s="65"/>
    </row>
    <row r="31" spans="1:5">
      <c r="A31" s="65"/>
      <c r="B31" s="65"/>
      <c r="C31" s="65"/>
      <c r="D31" s="65"/>
      <c r="E31" s="65"/>
    </row>
    <row r="32" spans="1:5">
      <c r="A32" s="65"/>
      <c r="B32" s="65"/>
      <c r="C32" s="65"/>
      <c r="D32" s="65"/>
      <c r="E32" s="65"/>
    </row>
    <row r="33" ht="42.75" customHeight="1" spans="1:5">
      <c r="A33" s="65"/>
      <c r="B33" s="65"/>
      <c r="C33" s="65"/>
      <c r="D33" s="65"/>
      <c r="E33" s="65"/>
    </row>
    <row r="34" spans="1:5">
      <c r="A34" s="66"/>
      <c r="B34" s="67"/>
      <c r="C34" s="66"/>
      <c r="D34" s="66"/>
      <c r="E34" s="66"/>
    </row>
    <row r="35" ht="18" spans="1:5">
      <c r="A35" s="68" t="s">
        <v>23</v>
      </c>
      <c r="B35" s="68"/>
      <c r="C35" s="68"/>
      <c r="D35" s="68"/>
      <c r="E35" s="68"/>
    </row>
    <row r="36" spans="1:5">
      <c r="A36" s="69" t="s">
        <v>24</v>
      </c>
      <c r="B36" s="70" t="s">
        <v>25</v>
      </c>
      <c r="C36" s="71" t="s">
        <v>26</v>
      </c>
      <c r="D36" s="69"/>
      <c r="E36" s="69"/>
    </row>
    <row r="37" ht="14.25" spans="1:6">
      <c r="A37" s="71"/>
      <c r="B37" s="72"/>
      <c r="C37" s="69" t="str">
        <f>IF(B37="","",VLOOKUP(B37,'Matriz de repuestos'!$A$1:$B$231,2,FALSE))</f>
        <v/>
      </c>
      <c r="D37" s="69"/>
      <c r="E37" s="69"/>
      <c r="F37" s="73"/>
    </row>
    <row r="38" ht="14.25" spans="1:6">
      <c r="A38" s="71"/>
      <c r="B38" s="72"/>
      <c r="C38" s="69" t="str">
        <f>IF(B38="","",VLOOKUP(B38,'Matriz de repuestos'!$A$1:$B$231,2,FALSE))</f>
        <v/>
      </c>
      <c r="D38" s="69"/>
      <c r="E38" s="69"/>
      <c r="F38" s="74"/>
    </row>
    <row r="39" ht="14.25" spans="1:6">
      <c r="A39" s="69"/>
      <c r="B39" s="75"/>
      <c r="C39" s="69" t="str">
        <f>IF(B39="","",VLOOKUP(B39,'Matriz de repuestos'!$A$1:$B$231,2,FALSE))</f>
        <v/>
      </c>
      <c r="D39" s="69"/>
      <c r="E39" s="69"/>
      <c r="F39" s="73"/>
    </row>
    <row r="40" ht="14.25" spans="1:6">
      <c r="A40" s="69"/>
      <c r="B40" s="72"/>
      <c r="C40" s="69" t="str">
        <f>IF(B40="","",VLOOKUP(B40,'Matriz de repuestos'!$A$1:$B$231,2,FALSE))</f>
        <v/>
      </c>
      <c r="D40" s="69"/>
      <c r="E40" s="69"/>
      <c r="F40" s="76"/>
    </row>
    <row r="41" ht="14.25" spans="1:6">
      <c r="A41" s="69"/>
      <c r="B41" s="75"/>
      <c r="C41" s="69" t="str">
        <f>IF(B41="","",VLOOKUP(B41,'Matriz de repuestos'!$A$1:$B$231,2,FALSE))</f>
        <v/>
      </c>
      <c r="D41" s="69"/>
      <c r="E41" s="69"/>
      <c r="F41" s="73"/>
    </row>
    <row r="42" ht="14.25" spans="1:6">
      <c r="A42" s="69"/>
      <c r="B42" s="72"/>
      <c r="C42" s="69" t="str">
        <f>IF(B42="","",VLOOKUP(B42,'Matriz de repuestos'!$A$1:$B$231,2,FALSE))</f>
        <v/>
      </c>
      <c r="D42" s="69"/>
      <c r="E42" s="69"/>
      <c r="F42" s="73"/>
    </row>
    <row r="43" ht="14.25" spans="1:6">
      <c r="A43" s="69"/>
      <c r="B43" s="72"/>
      <c r="C43" s="69" t="str">
        <f>IF(B43="","",VLOOKUP(B43,'Matriz de repuestos'!$A$1:$B$231,2,FALSE))</f>
        <v/>
      </c>
      <c r="D43" s="69"/>
      <c r="E43" s="69"/>
      <c r="F43" s="73"/>
    </row>
    <row r="44" ht="14.25" spans="1:6">
      <c r="A44" s="69"/>
      <c r="B44" s="72"/>
      <c r="C44" s="69" t="str">
        <f>IF(B44="","",VLOOKUP(B44,'Matriz de repuestos'!$A$1:$B$231,2,FALSE))</f>
        <v/>
      </c>
      <c r="D44" s="69"/>
      <c r="E44" s="69"/>
      <c r="F44" s="73"/>
    </row>
    <row r="45" ht="14.25" spans="1:6">
      <c r="A45" s="69"/>
      <c r="B45" s="72"/>
      <c r="C45" s="69" t="str">
        <f>IF(B45="","",VLOOKUP(B45,'Matriz de repuestos'!$A$1:$B$231,2,FALSE))</f>
        <v/>
      </c>
      <c r="D45" s="69"/>
      <c r="E45" s="69"/>
      <c r="F45" s="74"/>
    </row>
    <row r="46" ht="14.25" spans="1:6">
      <c r="A46" s="69"/>
      <c r="B46" s="72"/>
      <c r="C46" s="69" t="str">
        <f>IF(B46="","",VLOOKUP(B46,'Matriz de repuestos'!$A$1:$B$231,2,FALSE))</f>
        <v/>
      </c>
      <c r="D46" s="69"/>
      <c r="E46" s="69"/>
      <c r="F46" s="73"/>
    </row>
    <row r="47" ht="14.25" spans="1:6">
      <c r="A47" s="69"/>
      <c r="B47" s="72"/>
      <c r="C47" s="69" t="str">
        <f>IF(B47="","",VLOOKUP(B47,'Matriz de repuestos'!$A$1:$B$231,2,FALSE))</f>
        <v/>
      </c>
      <c r="D47" s="69"/>
      <c r="E47" s="69"/>
      <c r="F47" s="73"/>
    </row>
    <row r="48" spans="1:5">
      <c r="A48" s="69"/>
      <c r="B48" s="71"/>
      <c r="C48" s="69" t="str">
        <f>IF(B48="","",VLOOKUP(B48,'Matriz de repuestos'!$A$1:$B$231,2,FALSE))</f>
        <v/>
      </c>
      <c r="D48" s="69"/>
      <c r="E48" s="69"/>
    </row>
    <row r="49" spans="1:5">
      <c r="A49" s="69"/>
      <c r="B49" s="69"/>
      <c r="C49" s="69" t="str">
        <f>IF(B49="","",VLOOKUP(B49,'Matriz de repuestos'!A13:B243,2,FALSE))</f>
        <v/>
      </c>
      <c r="D49" s="69"/>
      <c r="E49" s="69"/>
    </row>
    <row r="50" ht="13.5" spans="1:5">
      <c r="A50" s="77" t="s">
        <v>27</v>
      </c>
      <c r="B50" s="78"/>
      <c r="C50" s="79"/>
      <c r="D50" s="79"/>
      <c r="E50" s="79"/>
    </row>
    <row r="51" ht="13.5" spans="1:5">
      <c r="A51" s="80" t="s">
        <v>28</v>
      </c>
      <c r="B51" s="81"/>
      <c r="C51" s="81"/>
      <c r="D51" s="82"/>
      <c r="E51" s="67"/>
    </row>
    <row r="52" ht="21" customHeight="1" spans="1:5">
      <c r="A52" s="83" t="s">
        <v>29</v>
      </c>
      <c r="B52" s="84"/>
      <c r="C52" s="85"/>
      <c r="D52" s="86" t="s">
        <v>30</v>
      </c>
      <c r="E52" s="67"/>
    </row>
    <row r="53" ht="21.6" customHeight="1" spans="1:5">
      <c r="A53" s="83" t="s">
        <v>31</v>
      </c>
      <c r="B53" s="84"/>
      <c r="C53" s="85"/>
      <c r="D53" s="87"/>
      <c r="E53" s="67"/>
    </row>
    <row r="54" ht="19.9" customHeight="1" spans="1:5">
      <c r="A54" s="15" t="s">
        <v>32</v>
      </c>
      <c r="B54" s="88"/>
      <c r="C54" s="89"/>
      <c r="D54" s="86"/>
      <c r="E54" s="67"/>
    </row>
    <row r="55" ht="22.35" customHeight="1" spans="1:5">
      <c r="A55" s="90" t="s">
        <v>33</v>
      </c>
      <c r="B55" s="84"/>
      <c r="C55" s="85"/>
      <c r="D55" s="86"/>
      <c r="E55" s="67"/>
    </row>
    <row r="56" ht="23.65" customHeight="1" spans="1:5">
      <c r="A56" s="83" t="s">
        <v>34</v>
      </c>
      <c r="B56" s="84"/>
      <c r="C56" s="85"/>
      <c r="D56" s="86"/>
      <c r="E56" s="67"/>
    </row>
    <row r="57" ht="13.5" spans="1:5">
      <c r="A57" s="66"/>
      <c r="B57" s="67"/>
      <c r="C57" s="91"/>
      <c r="D57" s="91"/>
      <c r="E57" s="92"/>
    </row>
    <row r="58" spans="1:5">
      <c r="A58" s="93" t="s">
        <v>35</v>
      </c>
      <c r="B58" s="94"/>
      <c r="C58" s="94"/>
      <c r="D58" s="95" t="s">
        <v>36</v>
      </c>
      <c r="E58" s="21"/>
    </row>
    <row r="59" ht="13.5" spans="1:5">
      <c r="A59" s="25"/>
      <c r="B59" s="26"/>
      <c r="C59" s="27"/>
      <c r="D59" s="27"/>
      <c r="E59" s="28"/>
    </row>
  </sheetData>
  <mergeCells count="30">
    <mergeCell ref="B3:C3"/>
    <mergeCell ref="A9:B9"/>
    <mergeCell ref="A11:B11"/>
    <mergeCell ref="A14:B14"/>
    <mergeCell ref="A17:E17"/>
    <mergeCell ref="A22:B22"/>
    <mergeCell ref="C22:E22"/>
    <mergeCell ref="A28:E28"/>
    <mergeCell ref="A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A50:B50"/>
    <mergeCell ref="C50:E50"/>
    <mergeCell ref="A51:D51"/>
    <mergeCell ref="C57:D57"/>
    <mergeCell ref="A58:C58"/>
    <mergeCell ref="A18:E20"/>
    <mergeCell ref="A29:E33"/>
  </mergeCells>
  <printOptions horizontalCentered="1"/>
  <pageMargins left="0.390277777777778" right="0.196527777777778" top="0.39375" bottom="0.393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25"/>
  <sheetViews>
    <sheetView workbookViewId="0">
      <selection activeCell="B30" sqref="B30"/>
    </sheetView>
  </sheetViews>
  <sheetFormatPr defaultColWidth="10.5714285714286" defaultRowHeight="12.75" outlineLevelCol="2"/>
  <cols>
    <col min="2" max="2" width="25.2857142857143" customWidth="1"/>
    <col min="3" max="3" width="87.4285714285714" customWidth="1"/>
    <col min="5" max="5" width="47.4285714285714" customWidth="1"/>
    <col min="6" max="6" width="27.5714285714286" customWidth="1"/>
  </cols>
  <sheetData>
    <row r="3" ht="13.5"/>
    <row r="4" spans="2:3">
      <c r="B4" s="8" t="s">
        <v>37</v>
      </c>
      <c r="C4" s="9" t="str">
        <f>Ficha!A3</f>
        <v>000000</v>
      </c>
    </row>
    <row r="5" spans="2:3">
      <c r="B5" s="10" t="s">
        <v>38</v>
      </c>
      <c r="C5" s="11">
        <f>Ficha!C13</f>
        <v>0</v>
      </c>
    </row>
    <row r="6" spans="2:3">
      <c r="B6" s="10" t="s">
        <v>39</v>
      </c>
      <c r="C6" s="11">
        <f>Ficha!E13</f>
        <v>0</v>
      </c>
    </row>
    <row r="7" spans="2:3">
      <c r="B7" s="10" t="s">
        <v>40</v>
      </c>
      <c r="C7" s="11">
        <f>Ficha!E14</f>
        <v>0</v>
      </c>
    </row>
    <row r="8" spans="2:3">
      <c r="B8" s="10" t="s">
        <v>41</v>
      </c>
      <c r="C8" s="11">
        <f>Ficha!E15</f>
        <v>0</v>
      </c>
    </row>
    <row r="9" spans="2:3">
      <c r="B9" s="10"/>
      <c r="C9" s="11"/>
    </row>
    <row r="10" spans="2:3">
      <c r="B10" s="10" t="s">
        <v>42</v>
      </c>
      <c r="C10" s="12" t="str">
        <f>Ficha!A18</f>
        <v>NO SELLA</v>
      </c>
    </row>
    <row r="11" spans="2:3">
      <c r="B11" s="13"/>
      <c r="C11" s="12"/>
    </row>
    <row r="12" spans="2:3">
      <c r="B12" s="10" t="s">
        <v>12</v>
      </c>
      <c r="C12" s="12"/>
    </row>
    <row r="13" spans="2:3">
      <c r="B13" s="13" t="str">
        <f>+Ficha!A23</f>
        <v>Armadura de plástico</v>
      </c>
      <c r="C13" s="14">
        <f>Ficha!B23</f>
        <v>0.8</v>
      </c>
    </row>
    <row r="14" spans="2:3">
      <c r="B14" s="13" t="str">
        <f>Ficha!A24</f>
        <v>Base de metal</v>
      </c>
      <c r="C14" s="14">
        <f>Ficha!B24</f>
        <v>0.8</v>
      </c>
    </row>
    <row r="15" spans="2:3">
      <c r="B15" s="13" t="str">
        <f>Ficha!A25</f>
        <v>Rueda de tensionado</v>
      </c>
      <c r="C15" s="14">
        <f>Ficha!B25</f>
        <v>0.8</v>
      </c>
    </row>
    <row r="16" spans="2:3">
      <c r="B16" s="13" t="str">
        <f>Ficha!A26</f>
        <v>Sistema de sellado</v>
      </c>
      <c r="C16" s="14">
        <f>Ficha!B26</f>
        <v>0.8</v>
      </c>
    </row>
    <row r="17" spans="2:3">
      <c r="B17" s="13"/>
      <c r="C17" s="12"/>
    </row>
    <row r="18" spans="2:3">
      <c r="B18" s="10" t="s">
        <v>13</v>
      </c>
      <c r="C18" s="12"/>
    </row>
    <row r="19" spans="2:3">
      <c r="B19" s="13" t="str">
        <f>Ficha!C23</f>
        <v>Contactos</v>
      </c>
      <c r="C19" s="11">
        <f>Ficha!D23</f>
        <v>0</v>
      </c>
    </row>
    <row r="20" spans="2:3">
      <c r="B20" s="13" t="str">
        <f>Ficha!C24</f>
        <v>Motores</v>
      </c>
      <c r="C20" s="11">
        <f>Ficha!D24</f>
        <v>0</v>
      </c>
    </row>
    <row r="21" spans="2:3">
      <c r="B21" s="13" t="str">
        <f>Ficha!C25</f>
        <v>Resorte</v>
      </c>
      <c r="C21" s="11">
        <f>Ficha!D25</f>
        <v>0</v>
      </c>
    </row>
    <row r="22" spans="2:3">
      <c r="B22" s="13" t="str">
        <f>Ficha!C26</f>
        <v>Display</v>
      </c>
      <c r="C22" s="11">
        <f>Ficha!D26</f>
        <v>0</v>
      </c>
    </row>
    <row r="23" spans="2:3">
      <c r="B23" s="13"/>
      <c r="C23" s="12"/>
    </row>
    <row r="24" spans="2:3">
      <c r="B24" s="10" t="s">
        <v>43</v>
      </c>
      <c r="C24" s="12"/>
    </row>
    <row r="25" ht="49.15" customHeight="1" spans="2:3">
      <c r="B25" s="15">
        <f>Ficha!A29</f>
        <v>0</v>
      </c>
      <c r="C25" s="16"/>
    </row>
  </sheetData>
  <mergeCells count="1">
    <mergeCell ref="B25:C25"/>
  </mergeCells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1"/>
  <sheetViews>
    <sheetView topLeftCell="A223" workbookViewId="0">
      <selection activeCell="C10" sqref="C10"/>
    </sheetView>
  </sheetViews>
  <sheetFormatPr defaultColWidth="11.4285714285714" defaultRowHeight="12.75" outlineLevelCol="1"/>
  <cols>
    <col min="1" max="1" width="17.8571428571429" customWidth="1"/>
    <col min="2" max="2" width="37.5714285714286" customWidth="1"/>
    <col min="3" max="3" width="71.1428571428571" customWidth="1"/>
  </cols>
  <sheetData>
    <row r="1" ht="26.25" spans="1:2">
      <c r="A1" s="1" t="s">
        <v>44</v>
      </c>
      <c r="B1" s="2" t="s">
        <v>45</v>
      </c>
    </row>
    <row r="2" ht="15" spans="1:2">
      <c r="A2" s="3" t="s">
        <v>46</v>
      </c>
      <c r="B2" s="4" t="s">
        <v>47</v>
      </c>
    </row>
    <row r="3" ht="15" spans="1:2">
      <c r="A3" s="3" t="s">
        <v>48</v>
      </c>
      <c r="B3" s="5" t="s">
        <v>49</v>
      </c>
    </row>
    <row r="4" ht="15" spans="1:2">
      <c r="A4" s="3" t="s">
        <v>50</v>
      </c>
      <c r="B4" s="5" t="s">
        <v>51</v>
      </c>
    </row>
    <row r="5" ht="15" spans="1:2">
      <c r="A5" s="3" t="s">
        <v>52</v>
      </c>
      <c r="B5" s="5" t="s">
        <v>53</v>
      </c>
    </row>
    <row r="6" ht="15" spans="1:2">
      <c r="A6" s="3" t="s">
        <v>54</v>
      </c>
      <c r="B6" s="5" t="s">
        <v>55</v>
      </c>
    </row>
    <row r="7" ht="15" spans="1:2">
      <c r="A7" s="3" t="s">
        <v>56</v>
      </c>
      <c r="B7" s="5" t="s">
        <v>57</v>
      </c>
    </row>
    <row r="8" ht="15" spans="1:2">
      <c r="A8" s="3" t="s">
        <v>58</v>
      </c>
      <c r="B8" s="4" t="s">
        <v>59</v>
      </c>
    </row>
    <row r="9" ht="15" spans="1:2">
      <c r="A9" s="3" t="s">
        <v>60</v>
      </c>
      <c r="B9" s="5" t="s">
        <v>61</v>
      </c>
    </row>
    <row r="10" ht="15" spans="1:2">
      <c r="A10" s="3" t="s">
        <v>62</v>
      </c>
      <c r="B10" s="5" t="s">
        <v>63</v>
      </c>
    </row>
    <row r="11" ht="15" spans="1:2">
      <c r="A11" s="3" t="s">
        <v>64</v>
      </c>
      <c r="B11" s="5" t="s">
        <v>65</v>
      </c>
    </row>
    <row r="12" ht="15" spans="1:2">
      <c r="A12" s="3" t="s">
        <v>66</v>
      </c>
      <c r="B12" s="4" t="s">
        <v>67</v>
      </c>
    </row>
    <row r="13" ht="15" spans="1:2">
      <c r="A13" s="3" t="s">
        <v>68</v>
      </c>
      <c r="B13" s="5" t="s">
        <v>69</v>
      </c>
    </row>
    <row r="14" ht="15" spans="1:2">
      <c r="A14" s="3" t="s">
        <v>70</v>
      </c>
      <c r="B14" s="4" t="s">
        <v>71</v>
      </c>
    </row>
    <row r="15" ht="15" spans="1:2">
      <c r="A15" s="3" t="s">
        <v>72</v>
      </c>
      <c r="B15" s="5" t="s">
        <v>73</v>
      </c>
    </row>
    <row r="16" ht="15" spans="1:2">
      <c r="A16" s="3" t="s">
        <v>74</v>
      </c>
      <c r="B16" s="4" t="s">
        <v>75</v>
      </c>
    </row>
    <row r="17" ht="15" spans="1:2">
      <c r="A17" s="3" t="s">
        <v>76</v>
      </c>
      <c r="B17" s="5" t="s">
        <v>77</v>
      </c>
    </row>
    <row r="18" ht="15" spans="1:2">
      <c r="A18" s="3" t="s">
        <v>78</v>
      </c>
      <c r="B18" s="5" t="s">
        <v>63</v>
      </c>
    </row>
    <row r="19" ht="15" spans="1:2">
      <c r="A19" s="3" t="s">
        <v>79</v>
      </c>
      <c r="B19" s="5" t="s">
        <v>80</v>
      </c>
    </row>
    <row r="20" ht="15" spans="1:2">
      <c r="A20" s="3" t="s">
        <v>81</v>
      </c>
      <c r="B20" s="5" t="s">
        <v>80</v>
      </c>
    </row>
    <row r="21" ht="15" spans="1:2">
      <c r="A21" s="3" t="s">
        <v>82</v>
      </c>
      <c r="B21" s="5" t="s">
        <v>83</v>
      </c>
    </row>
    <row r="22" ht="15" spans="1:2">
      <c r="A22" s="3" t="s">
        <v>84</v>
      </c>
      <c r="B22" s="4" t="s">
        <v>85</v>
      </c>
    </row>
    <row r="23" ht="15" spans="1:2">
      <c r="A23" s="3" t="s">
        <v>86</v>
      </c>
      <c r="B23" s="5" t="s">
        <v>87</v>
      </c>
    </row>
    <row r="24" ht="15" spans="1:2">
      <c r="A24" s="3" t="s">
        <v>88</v>
      </c>
      <c r="B24" s="4" t="s">
        <v>89</v>
      </c>
    </row>
    <row r="25" ht="15" spans="1:2">
      <c r="A25" s="3" t="s">
        <v>90</v>
      </c>
      <c r="B25" s="5" t="s">
        <v>91</v>
      </c>
    </row>
    <row r="26" ht="15" spans="1:2">
      <c r="A26" s="3" t="s">
        <v>92</v>
      </c>
      <c r="B26" s="4" t="s">
        <v>93</v>
      </c>
    </row>
    <row r="27" ht="15" spans="1:2">
      <c r="A27" s="3" t="s">
        <v>94</v>
      </c>
      <c r="B27" s="5" t="s">
        <v>93</v>
      </c>
    </row>
    <row r="28" ht="15" spans="1:2">
      <c r="A28" s="3" t="s">
        <v>95</v>
      </c>
      <c r="B28" s="4" t="s">
        <v>96</v>
      </c>
    </row>
    <row r="29" ht="15" spans="1:2">
      <c r="A29" s="3" t="s">
        <v>97</v>
      </c>
      <c r="B29" s="5" t="s">
        <v>98</v>
      </c>
    </row>
    <row r="30" ht="15" spans="1:2">
      <c r="A30" s="3" t="s">
        <v>99</v>
      </c>
      <c r="B30" s="4" t="s">
        <v>100</v>
      </c>
    </row>
    <row r="31" ht="15" spans="1:2">
      <c r="A31" s="3" t="s">
        <v>101</v>
      </c>
      <c r="B31" s="5" t="s">
        <v>102</v>
      </c>
    </row>
    <row r="32" ht="15" spans="1:2">
      <c r="A32" s="3" t="s">
        <v>103</v>
      </c>
      <c r="B32" s="4" t="s">
        <v>104</v>
      </c>
    </row>
    <row r="33" ht="15" spans="1:2">
      <c r="A33" s="3" t="s">
        <v>105</v>
      </c>
      <c r="B33" s="5" t="s">
        <v>106</v>
      </c>
    </row>
    <row r="34" ht="15" spans="1:2">
      <c r="A34" s="3" t="s">
        <v>107</v>
      </c>
      <c r="B34" s="4" t="s">
        <v>108</v>
      </c>
    </row>
    <row r="35" ht="15" spans="1:2">
      <c r="A35" s="3" t="s">
        <v>109</v>
      </c>
      <c r="B35" s="5" t="s">
        <v>110</v>
      </c>
    </row>
    <row r="36" ht="15" spans="1:2">
      <c r="A36" s="3" t="s">
        <v>111</v>
      </c>
      <c r="B36" s="5" t="s">
        <v>112</v>
      </c>
    </row>
    <row r="37" ht="15" spans="1:2">
      <c r="A37" s="3" t="s">
        <v>113</v>
      </c>
      <c r="B37" s="5" t="s">
        <v>114</v>
      </c>
    </row>
    <row r="38" ht="15" spans="1:2">
      <c r="A38" s="3" t="s">
        <v>115</v>
      </c>
      <c r="B38" s="4" t="s">
        <v>116</v>
      </c>
    </row>
    <row r="39" ht="15" spans="1:2">
      <c r="A39" s="3" t="s">
        <v>117</v>
      </c>
      <c r="B39" s="5" t="s">
        <v>118</v>
      </c>
    </row>
    <row r="40" ht="15" spans="1:2">
      <c r="A40" s="3" t="s">
        <v>119</v>
      </c>
      <c r="B40" s="4" t="s">
        <v>120</v>
      </c>
    </row>
    <row r="41" ht="15" spans="1:2">
      <c r="A41" s="3" t="s">
        <v>121</v>
      </c>
      <c r="B41" s="5" t="s">
        <v>122</v>
      </c>
    </row>
    <row r="42" ht="15" spans="1:2">
      <c r="A42" s="3" t="s">
        <v>123</v>
      </c>
      <c r="B42" s="4" t="s">
        <v>124</v>
      </c>
    </row>
    <row r="43" ht="15" spans="1:2">
      <c r="A43" s="3" t="s">
        <v>125</v>
      </c>
      <c r="B43" s="5" t="s">
        <v>126</v>
      </c>
    </row>
    <row r="44" ht="15" spans="1:2">
      <c r="A44" s="3" t="s">
        <v>127</v>
      </c>
      <c r="B44" s="4" t="s">
        <v>128</v>
      </c>
    </row>
    <row r="45" ht="15" spans="1:2">
      <c r="A45" s="3" t="s">
        <v>129</v>
      </c>
      <c r="B45" s="5" t="s">
        <v>130</v>
      </c>
    </row>
    <row r="46" ht="15" spans="1:2">
      <c r="A46" s="3" t="s">
        <v>131</v>
      </c>
      <c r="B46" s="4" t="s">
        <v>132</v>
      </c>
    </row>
    <row r="47" ht="15" spans="1:2">
      <c r="A47" s="3" t="s">
        <v>133</v>
      </c>
      <c r="B47" s="5" t="s">
        <v>134</v>
      </c>
    </row>
    <row r="48" ht="15" spans="1:2">
      <c r="A48" s="3" t="s">
        <v>135</v>
      </c>
      <c r="B48" s="4" t="s">
        <v>136</v>
      </c>
    </row>
    <row r="49" ht="15" spans="1:2">
      <c r="A49" s="3" t="s">
        <v>137</v>
      </c>
      <c r="B49" s="5" t="s">
        <v>138</v>
      </c>
    </row>
    <row r="50" ht="15" spans="1:2">
      <c r="A50" s="3" t="s">
        <v>139</v>
      </c>
      <c r="B50" s="4" t="s">
        <v>140</v>
      </c>
    </row>
    <row r="51" ht="15" spans="1:2">
      <c r="A51" s="3" t="s">
        <v>141</v>
      </c>
      <c r="B51" s="5" t="s">
        <v>142</v>
      </c>
    </row>
    <row r="52" ht="15" spans="1:2">
      <c r="A52" s="3" t="s">
        <v>143</v>
      </c>
      <c r="B52" s="4" t="s">
        <v>144</v>
      </c>
    </row>
    <row r="53" ht="15" spans="1:2">
      <c r="A53" s="3" t="s">
        <v>145</v>
      </c>
      <c r="B53" s="5" t="s">
        <v>146</v>
      </c>
    </row>
    <row r="54" ht="15" spans="1:2">
      <c r="A54" s="3" t="s">
        <v>147</v>
      </c>
      <c r="B54" s="4" t="s">
        <v>148</v>
      </c>
    </row>
    <row r="55" ht="15" spans="1:2">
      <c r="A55" s="3" t="s">
        <v>149</v>
      </c>
      <c r="B55" s="5" t="s">
        <v>150</v>
      </c>
    </row>
    <row r="56" ht="15" spans="1:2">
      <c r="A56" s="3" t="s">
        <v>151</v>
      </c>
      <c r="B56" s="4" t="s">
        <v>152</v>
      </c>
    </row>
    <row r="57" ht="15" spans="1:2">
      <c r="A57" s="3" t="s">
        <v>153</v>
      </c>
      <c r="B57" s="5" t="s">
        <v>154</v>
      </c>
    </row>
    <row r="58" ht="15" spans="1:2">
      <c r="A58" s="3" t="s">
        <v>155</v>
      </c>
      <c r="B58" s="4" t="s">
        <v>156</v>
      </c>
    </row>
    <row r="59" ht="15" spans="1:2">
      <c r="A59" s="3" t="s">
        <v>157</v>
      </c>
      <c r="B59" s="5" t="s">
        <v>158</v>
      </c>
    </row>
    <row r="60" ht="15" spans="1:2">
      <c r="A60" s="3" t="s">
        <v>159</v>
      </c>
      <c r="B60" s="4" t="s">
        <v>160</v>
      </c>
    </row>
    <row r="61" ht="15" spans="1:2">
      <c r="A61" s="3" t="s">
        <v>161</v>
      </c>
      <c r="B61" s="5" t="s">
        <v>162</v>
      </c>
    </row>
    <row r="62" ht="15" spans="1:2">
      <c r="A62" s="3" t="s">
        <v>163</v>
      </c>
      <c r="B62" s="4" t="s">
        <v>164</v>
      </c>
    </row>
    <row r="63" ht="15" spans="1:2">
      <c r="A63" s="3" t="s">
        <v>165</v>
      </c>
      <c r="B63" s="5" t="s">
        <v>166</v>
      </c>
    </row>
    <row r="64" ht="15" spans="1:2">
      <c r="A64" s="3" t="s">
        <v>167</v>
      </c>
      <c r="B64" s="4" t="s">
        <v>168</v>
      </c>
    </row>
    <row r="65" ht="15" spans="1:2">
      <c r="A65" s="3" t="s">
        <v>169</v>
      </c>
      <c r="B65" s="5" t="s">
        <v>170</v>
      </c>
    </row>
    <row r="66" ht="15" spans="1:2">
      <c r="A66" s="3" t="s">
        <v>171</v>
      </c>
      <c r="B66" s="4" t="s">
        <v>172</v>
      </c>
    </row>
    <row r="67" ht="15" spans="1:2">
      <c r="A67" s="3" t="s">
        <v>173</v>
      </c>
      <c r="B67" s="5" t="s">
        <v>174</v>
      </c>
    </row>
    <row r="68" ht="15" spans="1:2">
      <c r="A68" s="3" t="s">
        <v>175</v>
      </c>
      <c r="B68" s="4" t="s">
        <v>176</v>
      </c>
    </row>
    <row r="69" ht="15" spans="1:2">
      <c r="A69" s="3" t="s">
        <v>177</v>
      </c>
      <c r="B69" s="5" t="s">
        <v>178</v>
      </c>
    </row>
    <row r="70" ht="15" spans="1:2">
      <c r="A70" s="3" t="s">
        <v>179</v>
      </c>
      <c r="B70" s="4" t="s">
        <v>180</v>
      </c>
    </row>
    <row r="71" ht="15" spans="1:2">
      <c r="A71" s="3" t="s">
        <v>181</v>
      </c>
      <c r="B71" s="5" t="s">
        <v>182</v>
      </c>
    </row>
    <row r="72" ht="15" spans="1:2">
      <c r="A72" s="3" t="s">
        <v>183</v>
      </c>
      <c r="B72" s="4" t="s">
        <v>184</v>
      </c>
    </row>
    <row r="73" ht="15" spans="1:2">
      <c r="A73" s="3" t="s">
        <v>185</v>
      </c>
      <c r="B73" s="5" t="s">
        <v>186</v>
      </c>
    </row>
    <row r="74" ht="15" spans="1:2">
      <c r="A74" s="3" t="s">
        <v>187</v>
      </c>
      <c r="B74" s="4" t="s">
        <v>188</v>
      </c>
    </row>
    <row r="75" ht="15" spans="1:2">
      <c r="A75" s="3" t="s">
        <v>189</v>
      </c>
      <c r="B75" s="5" t="s">
        <v>190</v>
      </c>
    </row>
    <row r="76" ht="15" spans="1:2">
      <c r="A76" s="3" t="s">
        <v>191</v>
      </c>
      <c r="B76" s="4" t="s">
        <v>192</v>
      </c>
    </row>
    <row r="77" ht="15" spans="1:2">
      <c r="A77" s="3" t="s">
        <v>193</v>
      </c>
      <c r="B77" s="5" t="s">
        <v>194</v>
      </c>
    </row>
    <row r="78" ht="15" spans="1:2">
      <c r="A78" s="3" t="s">
        <v>195</v>
      </c>
      <c r="B78" s="4" t="s">
        <v>196</v>
      </c>
    </row>
    <row r="79" ht="15" spans="1:2">
      <c r="A79" s="3" t="s">
        <v>197</v>
      </c>
      <c r="B79" s="5" t="s">
        <v>198</v>
      </c>
    </row>
    <row r="80" ht="15" spans="1:2">
      <c r="A80" s="3" t="s">
        <v>199</v>
      </c>
      <c r="B80" s="4" t="s">
        <v>200</v>
      </c>
    </row>
    <row r="81" ht="15" spans="1:2">
      <c r="A81" s="3" t="s">
        <v>201</v>
      </c>
      <c r="B81" s="5" t="s">
        <v>202</v>
      </c>
    </row>
    <row r="82" ht="15" spans="1:2">
      <c r="A82" s="3" t="s">
        <v>203</v>
      </c>
      <c r="B82" s="4" t="s">
        <v>204</v>
      </c>
    </row>
    <row r="83" ht="15" spans="1:2">
      <c r="A83" s="3" t="s">
        <v>205</v>
      </c>
      <c r="B83" s="5" t="s">
        <v>206</v>
      </c>
    </row>
    <row r="84" ht="15" spans="1:2">
      <c r="A84" s="3" t="s">
        <v>207</v>
      </c>
      <c r="B84" s="4" t="s">
        <v>208</v>
      </c>
    </row>
    <row r="85" ht="15" spans="1:2">
      <c r="A85" s="3" t="s">
        <v>209</v>
      </c>
      <c r="B85" s="5" t="s">
        <v>210</v>
      </c>
    </row>
    <row r="86" ht="15" spans="1:2">
      <c r="A86" s="3" t="s">
        <v>211</v>
      </c>
      <c r="B86" s="4" t="s">
        <v>212</v>
      </c>
    </row>
    <row r="87" ht="15" spans="1:2">
      <c r="A87" s="3" t="s">
        <v>213</v>
      </c>
      <c r="B87" s="5" t="s">
        <v>214</v>
      </c>
    </row>
    <row r="88" ht="15" spans="1:2">
      <c r="A88" s="3" t="s">
        <v>215</v>
      </c>
      <c r="B88" s="4" t="s">
        <v>216</v>
      </c>
    </row>
    <row r="89" ht="15" spans="1:2">
      <c r="A89" s="3" t="s">
        <v>217</v>
      </c>
      <c r="B89" s="5" t="s">
        <v>218</v>
      </c>
    </row>
    <row r="90" ht="15" spans="1:2">
      <c r="A90" s="3" t="s">
        <v>219</v>
      </c>
      <c r="B90" s="4" t="s">
        <v>220</v>
      </c>
    </row>
    <row r="91" ht="15" spans="1:2">
      <c r="A91" s="3" t="s">
        <v>221</v>
      </c>
      <c r="B91" s="5" t="s">
        <v>222</v>
      </c>
    </row>
    <row r="92" ht="15" spans="1:2">
      <c r="A92" s="3" t="s">
        <v>223</v>
      </c>
      <c r="B92" s="4" t="s">
        <v>224</v>
      </c>
    </row>
    <row r="93" ht="15" spans="1:2">
      <c r="A93" s="3" t="s">
        <v>225</v>
      </c>
      <c r="B93" s="5" t="s">
        <v>226</v>
      </c>
    </row>
    <row r="94" ht="15" spans="1:2">
      <c r="A94" s="3" t="s">
        <v>227</v>
      </c>
      <c r="B94" s="4" t="s">
        <v>212</v>
      </c>
    </row>
    <row r="95" ht="15" spans="1:2">
      <c r="A95" s="3" t="s">
        <v>228</v>
      </c>
      <c r="B95" s="5" t="s">
        <v>229</v>
      </c>
    </row>
    <row r="96" ht="15" spans="1:2">
      <c r="A96" s="3" t="s">
        <v>230</v>
      </c>
      <c r="B96" s="4" t="s">
        <v>231</v>
      </c>
    </row>
    <row r="97" ht="15" spans="1:2">
      <c r="A97" s="3" t="s">
        <v>232</v>
      </c>
      <c r="B97" s="5" t="s">
        <v>233</v>
      </c>
    </row>
    <row r="98" ht="15" spans="1:2">
      <c r="A98" s="3" t="s">
        <v>234</v>
      </c>
      <c r="B98" s="5" t="s">
        <v>235</v>
      </c>
    </row>
    <row r="99" ht="15" spans="1:2">
      <c r="A99" s="3" t="s">
        <v>236</v>
      </c>
      <c r="B99" s="5" t="s">
        <v>237</v>
      </c>
    </row>
    <row r="100" ht="15" spans="1:2">
      <c r="A100" s="3" t="s">
        <v>238</v>
      </c>
      <c r="B100" s="4" t="s">
        <v>239</v>
      </c>
    </row>
    <row r="101" ht="15" spans="1:2">
      <c r="A101" s="3" t="s">
        <v>240</v>
      </c>
      <c r="B101" s="5" t="s">
        <v>241</v>
      </c>
    </row>
    <row r="102" ht="15" spans="1:2">
      <c r="A102" s="3" t="s">
        <v>242</v>
      </c>
      <c r="B102" s="4" t="s">
        <v>243</v>
      </c>
    </row>
    <row r="103" ht="15" spans="1:2">
      <c r="A103" s="3" t="s">
        <v>244</v>
      </c>
      <c r="B103" s="5" t="s">
        <v>91</v>
      </c>
    </row>
    <row r="104" ht="15" spans="1:2">
      <c r="A104" s="3" t="s">
        <v>245</v>
      </c>
      <c r="B104" s="4" t="s">
        <v>246</v>
      </c>
    </row>
    <row r="105" ht="15" spans="1:2">
      <c r="A105" s="3" t="s">
        <v>247</v>
      </c>
      <c r="B105" s="5" t="s">
        <v>248</v>
      </c>
    </row>
    <row r="106" ht="15" spans="1:2">
      <c r="A106" s="3" t="s">
        <v>249</v>
      </c>
      <c r="B106" s="4" t="s">
        <v>250</v>
      </c>
    </row>
    <row r="107" ht="15" spans="1:2">
      <c r="A107" s="3" t="s">
        <v>251</v>
      </c>
      <c r="B107" s="5" t="s">
        <v>252</v>
      </c>
    </row>
    <row r="108" ht="15" spans="1:2">
      <c r="A108" s="3" t="s">
        <v>253</v>
      </c>
      <c r="B108" s="4" t="s">
        <v>254</v>
      </c>
    </row>
    <row r="109" ht="15" spans="1:2">
      <c r="A109" s="3" t="s">
        <v>255</v>
      </c>
      <c r="B109" s="5" t="s">
        <v>256</v>
      </c>
    </row>
    <row r="110" ht="15" spans="1:2">
      <c r="A110" s="3" t="s">
        <v>257</v>
      </c>
      <c r="B110" s="4" t="s">
        <v>258</v>
      </c>
    </row>
    <row r="111" ht="15" spans="1:2">
      <c r="A111" s="3" t="s">
        <v>259</v>
      </c>
      <c r="B111" s="5" t="s">
        <v>260</v>
      </c>
    </row>
    <row r="112" ht="15" spans="1:2">
      <c r="A112" s="3" t="s">
        <v>261</v>
      </c>
      <c r="B112" s="4" t="s">
        <v>262</v>
      </c>
    </row>
    <row r="113" ht="15" spans="1:2">
      <c r="A113" s="3" t="s">
        <v>263</v>
      </c>
      <c r="B113" s="5" t="s">
        <v>264</v>
      </c>
    </row>
    <row r="114" ht="15" spans="1:2">
      <c r="A114" s="3" t="s">
        <v>265</v>
      </c>
      <c r="B114" s="4" t="s">
        <v>266</v>
      </c>
    </row>
    <row r="115" ht="15" spans="1:2">
      <c r="A115" s="3" t="s">
        <v>267</v>
      </c>
      <c r="B115" s="5" t="s">
        <v>268</v>
      </c>
    </row>
    <row r="116" ht="15" spans="1:2">
      <c r="A116" s="3" t="s">
        <v>269</v>
      </c>
      <c r="B116" s="4" t="s">
        <v>270</v>
      </c>
    </row>
    <row r="117" ht="15" spans="1:2">
      <c r="A117" s="3" t="s">
        <v>271</v>
      </c>
      <c r="B117" s="5" t="s">
        <v>272</v>
      </c>
    </row>
    <row r="118" ht="15" spans="1:2">
      <c r="A118" s="3" t="s">
        <v>273</v>
      </c>
      <c r="B118" s="4" t="s">
        <v>274</v>
      </c>
    </row>
    <row r="119" ht="15" spans="1:2">
      <c r="A119" s="3" t="s">
        <v>275</v>
      </c>
      <c r="B119" s="5" t="s">
        <v>276</v>
      </c>
    </row>
    <row r="120" ht="15" spans="1:2">
      <c r="A120" s="3" t="s">
        <v>277</v>
      </c>
      <c r="B120" s="4" t="s">
        <v>260</v>
      </c>
    </row>
    <row r="121" ht="15" spans="1:2">
      <c r="A121" s="3" t="s">
        <v>278</v>
      </c>
      <c r="B121" s="5" t="s">
        <v>279</v>
      </c>
    </row>
    <row r="122" ht="15" spans="1:2">
      <c r="A122" s="3" t="s">
        <v>280</v>
      </c>
      <c r="B122" s="4" t="s">
        <v>281</v>
      </c>
    </row>
    <row r="123" ht="15" spans="1:2">
      <c r="A123" s="3" t="s">
        <v>282</v>
      </c>
      <c r="B123" s="5" t="s">
        <v>283</v>
      </c>
    </row>
    <row r="124" ht="15" spans="1:2">
      <c r="A124" s="3" t="s">
        <v>284</v>
      </c>
      <c r="B124" s="4" t="s">
        <v>285</v>
      </c>
    </row>
    <row r="125" ht="15" spans="1:2">
      <c r="A125" s="3" t="s">
        <v>286</v>
      </c>
      <c r="B125" s="5" t="s">
        <v>287</v>
      </c>
    </row>
    <row r="126" ht="15" spans="1:2">
      <c r="A126" s="3" t="s">
        <v>288</v>
      </c>
      <c r="B126" s="4" t="s">
        <v>289</v>
      </c>
    </row>
    <row r="127" ht="15" spans="1:2">
      <c r="A127" s="3" t="s">
        <v>290</v>
      </c>
      <c r="B127" s="5" t="s">
        <v>291</v>
      </c>
    </row>
    <row r="128" ht="15" spans="1:2">
      <c r="A128" s="3" t="s">
        <v>292</v>
      </c>
      <c r="B128" s="4" t="s">
        <v>293</v>
      </c>
    </row>
    <row r="129" ht="15" spans="1:2">
      <c r="A129" s="3" t="s">
        <v>294</v>
      </c>
      <c r="B129" s="5" t="s">
        <v>295</v>
      </c>
    </row>
    <row r="130" ht="15" spans="1:2">
      <c r="A130" s="3" t="s">
        <v>296</v>
      </c>
      <c r="B130" s="4" t="s">
        <v>297</v>
      </c>
    </row>
    <row r="131" ht="15" spans="1:2">
      <c r="A131" s="3" t="s">
        <v>298</v>
      </c>
      <c r="B131" s="5" t="s">
        <v>299</v>
      </c>
    </row>
    <row r="132" ht="15" spans="1:2">
      <c r="A132" s="3" t="s">
        <v>300</v>
      </c>
      <c r="B132" s="4" t="s">
        <v>301</v>
      </c>
    </row>
    <row r="133" ht="15" spans="1:2">
      <c r="A133" s="3" t="s">
        <v>302</v>
      </c>
      <c r="B133" s="5" t="s">
        <v>303</v>
      </c>
    </row>
    <row r="134" ht="15" spans="1:2">
      <c r="A134" s="3" t="s">
        <v>304</v>
      </c>
      <c r="B134" s="5" t="s">
        <v>241</v>
      </c>
    </row>
    <row r="135" ht="15" spans="1:2">
      <c r="A135" s="3" t="s">
        <v>305</v>
      </c>
      <c r="B135" s="5" t="s">
        <v>73</v>
      </c>
    </row>
    <row r="136" ht="15" spans="1:2">
      <c r="A136" s="3" t="s">
        <v>306</v>
      </c>
      <c r="B136" s="4" t="s">
        <v>307</v>
      </c>
    </row>
    <row r="137" ht="15" spans="1:2">
      <c r="A137" s="3" t="s">
        <v>308</v>
      </c>
      <c r="B137" s="5" t="s">
        <v>309</v>
      </c>
    </row>
    <row r="138" ht="15" spans="1:2">
      <c r="A138" s="3" t="s">
        <v>310</v>
      </c>
      <c r="B138" s="5" t="s">
        <v>311</v>
      </c>
    </row>
    <row r="139" ht="15" spans="1:2">
      <c r="A139" s="3" t="s">
        <v>312</v>
      </c>
      <c r="B139" s="5" t="s">
        <v>313</v>
      </c>
    </row>
    <row r="140" ht="15" spans="1:2">
      <c r="A140" s="3" t="s">
        <v>314</v>
      </c>
      <c r="B140" s="4" t="s">
        <v>315</v>
      </c>
    </row>
    <row r="141" ht="15" spans="1:2">
      <c r="A141" s="3" t="s">
        <v>316</v>
      </c>
      <c r="B141" s="5" t="s">
        <v>317</v>
      </c>
    </row>
    <row r="142" ht="15" spans="1:2">
      <c r="A142" s="3" t="s">
        <v>318</v>
      </c>
      <c r="B142" s="4" t="s">
        <v>276</v>
      </c>
    </row>
    <row r="143" ht="15" spans="1:2">
      <c r="A143" s="3" t="s">
        <v>319</v>
      </c>
      <c r="B143" s="5" t="s">
        <v>320</v>
      </c>
    </row>
    <row r="144" ht="15" spans="1:2">
      <c r="A144" s="3" t="s">
        <v>321</v>
      </c>
      <c r="B144" s="4" t="s">
        <v>276</v>
      </c>
    </row>
    <row r="145" ht="15" spans="1:2">
      <c r="A145" s="3" t="s">
        <v>322</v>
      </c>
      <c r="B145" s="5" t="s">
        <v>323</v>
      </c>
    </row>
    <row r="146" ht="15" spans="1:2">
      <c r="A146" s="3" t="s">
        <v>324</v>
      </c>
      <c r="B146" s="4" t="s">
        <v>325</v>
      </c>
    </row>
    <row r="147" ht="15" spans="1:2">
      <c r="A147" s="3" t="s">
        <v>326</v>
      </c>
      <c r="B147" s="5" t="s">
        <v>327</v>
      </c>
    </row>
    <row r="148" ht="15" spans="1:2">
      <c r="A148" s="3" t="s">
        <v>328</v>
      </c>
      <c r="B148" s="4" t="s">
        <v>309</v>
      </c>
    </row>
    <row r="149" ht="15" spans="1:2">
      <c r="A149" s="3" t="s">
        <v>329</v>
      </c>
      <c r="B149" s="5" t="s">
        <v>330</v>
      </c>
    </row>
    <row r="150" ht="15" spans="1:2">
      <c r="A150" s="3" t="s">
        <v>331</v>
      </c>
      <c r="B150" s="4" t="s">
        <v>332</v>
      </c>
    </row>
    <row r="151" ht="15" spans="1:2">
      <c r="A151" s="3" t="s">
        <v>333</v>
      </c>
      <c r="B151" s="5" t="s">
        <v>334</v>
      </c>
    </row>
    <row r="152" ht="15" spans="1:2">
      <c r="A152" s="3" t="s">
        <v>335</v>
      </c>
      <c r="B152" s="4" t="s">
        <v>336</v>
      </c>
    </row>
    <row r="153" ht="15" spans="1:2">
      <c r="A153" s="3" t="s">
        <v>337</v>
      </c>
      <c r="B153" s="5" t="s">
        <v>338</v>
      </c>
    </row>
    <row r="154" ht="15" spans="1:2">
      <c r="A154" s="3" t="s">
        <v>339</v>
      </c>
      <c r="B154" s="4" t="s">
        <v>315</v>
      </c>
    </row>
    <row r="155" ht="15" spans="1:2">
      <c r="A155" s="3" t="s">
        <v>340</v>
      </c>
      <c r="B155" s="5" t="s">
        <v>336</v>
      </c>
    </row>
    <row r="156" ht="15" spans="1:2">
      <c r="A156" s="3" t="s">
        <v>341</v>
      </c>
      <c r="B156" s="4" t="s">
        <v>342</v>
      </c>
    </row>
    <row r="157" ht="15" spans="1:2">
      <c r="A157" s="3" t="s">
        <v>343</v>
      </c>
      <c r="B157" s="5" t="s">
        <v>344</v>
      </c>
    </row>
    <row r="158" ht="15" spans="1:2">
      <c r="A158" s="3" t="s">
        <v>345</v>
      </c>
      <c r="B158" s="4" t="s">
        <v>346</v>
      </c>
    </row>
    <row r="159" ht="15" spans="1:2">
      <c r="A159" s="3" t="s">
        <v>347</v>
      </c>
      <c r="B159" s="5" t="s">
        <v>348</v>
      </c>
    </row>
    <row r="160" ht="15" spans="1:2">
      <c r="A160" s="3" t="s">
        <v>349</v>
      </c>
      <c r="B160" s="5" t="s">
        <v>350</v>
      </c>
    </row>
    <row r="161" ht="15" spans="1:2">
      <c r="A161" s="3" t="s">
        <v>351</v>
      </c>
      <c r="B161" s="5" t="s">
        <v>352</v>
      </c>
    </row>
    <row r="162" ht="15" spans="1:2">
      <c r="A162" s="3" t="s">
        <v>353</v>
      </c>
      <c r="B162" s="4" t="s">
        <v>354</v>
      </c>
    </row>
    <row r="163" ht="15" spans="1:2">
      <c r="A163" s="3" t="s">
        <v>355</v>
      </c>
      <c r="B163" s="5" t="s">
        <v>356</v>
      </c>
    </row>
    <row r="164" ht="15" spans="1:2">
      <c r="A164" s="3" t="s">
        <v>357</v>
      </c>
      <c r="B164" s="4" t="s">
        <v>358</v>
      </c>
    </row>
    <row r="165" ht="15" spans="1:2">
      <c r="A165" s="3" t="s">
        <v>359</v>
      </c>
      <c r="B165" s="5" t="s">
        <v>360</v>
      </c>
    </row>
    <row r="166" ht="15" spans="1:2">
      <c r="A166" s="3" t="s">
        <v>361</v>
      </c>
      <c r="B166" s="4" t="s">
        <v>362</v>
      </c>
    </row>
    <row r="167" ht="15" spans="1:2">
      <c r="A167" s="3" t="s">
        <v>363</v>
      </c>
      <c r="B167" s="5" t="s">
        <v>364</v>
      </c>
    </row>
    <row r="168" ht="15" spans="1:2">
      <c r="A168" s="3" t="s">
        <v>365</v>
      </c>
      <c r="B168" s="4" t="s">
        <v>366</v>
      </c>
    </row>
    <row r="169" ht="15" spans="1:2">
      <c r="A169" s="3" t="s">
        <v>367</v>
      </c>
      <c r="B169" s="5" t="s">
        <v>368</v>
      </c>
    </row>
    <row r="170" ht="15" spans="1:2">
      <c r="A170" s="3" t="s">
        <v>369</v>
      </c>
      <c r="B170" s="4" t="s">
        <v>370</v>
      </c>
    </row>
    <row r="171" ht="15" spans="1:2">
      <c r="A171" s="3" t="s">
        <v>371</v>
      </c>
      <c r="B171" s="5" t="s">
        <v>372</v>
      </c>
    </row>
    <row r="172" ht="15" spans="1:2">
      <c r="A172" s="3" t="s">
        <v>373</v>
      </c>
      <c r="B172" s="4" t="s">
        <v>374</v>
      </c>
    </row>
    <row r="173" ht="15" spans="1:2">
      <c r="A173" s="3" t="s">
        <v>375</v>
      </c>
      <c r="B173" s="5" t="s">
        <v>376</v>
      </c>
    </row>
    <row r="174" ht="15" spans="1:2">
      <c r="A174" s="3" t="s">
        <v>377</v>
      </c>
      <c r="B174" s="4" t="s">
        <v>378</v>
      </c>
    </row>
    <row r="175" ht="15" spans="1:2">
      <c r="A175" s="3" t="s">
        <v>379</v>
      </c>
      <c r="B175" s="5" t="s">
        <v>380</v>
      </c>
    </row>
    <row r="176" ht="15" spans="1:2">
      <c r="A176" s="3" t="s">
        <v>381</v>
      </c>
      <c r="B176" s="4" t="s">
        <v>382</v>
      </c>
    </row>
    <row r="177" ht="15" spans="1:2">
      <c r="A177" s="3" t="s">
        <v>383</v>
      </c>
      <c r="B177" s="5" t="s">
        <v>384</v>
      </c>
    </row>
    <row r="178" ht="15" spans="1:2">
      <c r="A178" s="3" t="s">
        <v>385</v>
      </c>
      <c r="B178" s="4" t="s">
        <v>303</v>
      </c>
    </row>
    <row r="179" ht="15" spans="1:2">
      <c r="A179" s="3" t="s">
        <v>386</v>
      </c>
      <c r="B179" s="5" t="s">
        <v>387</v>
      </c>
    </row>
    <row r="180" ht="15" spans="1:2">
      <c r="A180" s="3" t="s">
        <v>388</v>
      </c>
      <c r="B180" s="4" t="s">
        <v>389</v>
      </c>
    </row>
    <row r="181" ht="15" spans="1:2">
      <c r="A181" s="3" t="s">
        <v>390</v>
      </c>
      <c r="B181" s="5" t="s">
        <v>391</v>
      </c>
    </row>
    <row r="182" ht="15" spans="1:2">
      <c r="A182" s="3" t="s">
        <v>392</v>
      </c>
      <c r="B182" s="5" t="s">
        <v>393</v>
      </c>
    </row>
    <row r="183" ht="15" spans="1:2">
      <c r="A183" s="3" t="s">
        <v>394</v>
      </c>
      <c r="B183" s="5" t="s">
        <v>289</v>
      </c>
    </row>
    <row r="184" ht="15" spans="1:2">
      <c r="A184" s="3" t="s">
        <v>395</v>
      </c>
      <c r="B184" s="5" t="s">
        <v>311</v>
      </c>
    </row>
    <row r="185" ht="15" spans="1:2">
      <c r="A185" s="3" t="s">
        <v>396</v>
      </c>
      <c r="B185" s="5" t="s">
        <v>397</v>
      </c>
    </row>
    <row r="186" ht="15" spans="1:2">
      <c r="A186" s="3" t="s">
        <v>398</v>
      </c>
      <c r="B186" s="4" t="s">
        <v>307</v>
      </c>
    </row>
    <row r="187" ht="15" spans="1:2">
      <c r="A187" s="3" t="s">
        <v>399</v>
      </c>
      <c r="B187" s="5" t="s">
        <v>400</v>
      </c>
    </row>
    <row r="188" ht="15" spans="1:2">
      <c r="A188" s="3" t="s">
        <v>401</v>
      </c>
      <c r="B188" s="4" t="s">
        <v>402</v>
      </c>
    </row>
    <row r="189" ht="15" spans="1:2">
      <c r="A189" s="3" t="s">
        <v>403</v>
      </c>
      <c r="B189" s="5" t="s">
        <v>404</v>
      </c>
    </row>
    <row r="190" ht="15" spans="1:2">
      <c r="A190" s="3" t="s">
        <v>405</v>
      </c>
      <c r="B190" s="4" t="s">
        <v>406</v>
      </c>
    </row>
    <row r="191" ht="15" spans="1:2">
      <c r="A191" s="3" t="s">
        <v>407</v>
      </c>
      <c r="B191" s="5" t="s">
        <v>408</v>
      </c>
    </row>
    <row r="192" ht="15" spans="1:2">
      <c r="A192" s="3" t="s">
        <v>409</v>
      </c>
      <c r="B192" s="4" t="s">
        <v>410</v>
      </c>
    </row>
    <row r="193" ht="15" spans="1:2">
      <c r="A193" s="3" t="s">
        <v>411</v>
      </c>
      <c r="B193" s="5" t="s">
        <v>412</v>
      </c>
    </row>
    <row r="194" ht="15" spans="1:2">
      <c r="A194" s="3" t="s">
        <v>413</v>
      </c>
      <c r="B194" s="4" t="s">
        <v>414</v>
      </c>
    </row>
    <row r="195" ht="15" spans="1:2">
      <c r="A195" s="3" t="s">
        <v>415</v>
      </c>
      <c r="B195" s="5" t="s">
        <v>416</v>
      </c>
    </row>
    <row r="196" ht="15" spans="1:2">
      <c r="A196" s="3" t="s">
        <v>417</v>
      </c>
      <c r="B196" s="4" t="s">
        <v>418</v>
      </c>
    </row>
    <row r="197" ht="15" spans="1:2">
      <c r="A197" s="3" t="s">
        <v>419</v>
      </c>
      <c r="B197" s="5" t="s">
        <v>330</v>
      </c>
    </row>
    <row r="198" ht="15" spans="1:2">
      <c r="A198" s="3" t="s">
        <v>420</v>
      </c>
      <c r="B198" s="4" t="s">
        <v>393</v>
      </c>
    </row>
    <row r="199" ht="15" spans="1:2">
      <c r="A199" s="3" t="s">
        <v>421</v>
      </c>
      <c r="B199" s="5" t="s">
        <v>422</v>
      </c>
    </row>
    <row r="200" ht="15" spans="1:2">
      <c r="A200" s="3" t="s">
        <v>423</v>
      </c>
      <c r="B200" s="5" t="s">
        <v>424</v>
      </c>
    </row>
    <row r="201" ht="15" spans="1:2">
      <c r="A201" s="3" t="s">
        <v>425</v>
      </c>
      <c r="B201" s="5" t="s">
        <v>426</v>
      </c>
    </row>
    <row r="202" ht="15" spans="1:2">
      <c r="A202" s="3" t="s">
        <v>427</v>
      </c>
      <c r="B202" s="5" t="s">
        <v>428</v>
      </c>
    </row>
    <row r="203" ht="15" spans="1:2">
      <c r="A203" s="3" t="s">
        <v>429</v>
      </c>
      <c r="B203" s="5" t="s">
        <v>430</v>
      </c>
    </row>
    <row r="204" ht="15" spans="1:2">
      <c r="A204" s="3" t="s">
        <v>431</v>
      </c>
      <c r="B204" s="4" t="s">
        <v>432</v>
      </c>
    </row>
    <row r="205" ht="15" spans="1:2">
      <c r="A205" s="3" t="s">
        <v>433</v>
      </c>
      <c r="B205" s="5" t="s">
        <v>434</v>
      </c>
    </row>
    <row r="206" ht="15" spans="1:2">
      <c r="A206" s="3" t="s">
        <v>435</v>
      </c>
      <c r="B206" s="5" t="s">
        <v>436</v>
      </c>
    </row>
    <row r="207" ht="15" spans="1:2">
      <c r="A207" s="3" t="s">
        <v>437</v>
      </c>
      <c r="B207" s="5" t="s">
        <v>438</v>
      </c>
    </row>
    <row r="208" ht="15" spans="1:2">
      <c r="A208" s="3" t="s">
        <v>439</v>
      </c>
      <c r="B208" s="5" t="s">
        <v>440</v>
      </c>
    </row>
    <row r="209" ht="15" spans="1:2">
      <c r="A209" s="3" t="s">
        <v>441</v>
      </c>
      <c r="B209" s="5" t="s">
        <v>442</v>
      </c>
    </row>
    <row r="210" ht="15" spans="1:2">
      <c r="A210" s="3" t="s">
        <v>443</v>
      </c>
      <c r="B210" s="4" t="s">
        <v>444</v>
      </c>
    </row>
    <row r="211" ht="15" spans="1:2">
      <c r="A211" s="3" t="s">
        <v>445</v>
      </c>
      <c r="B211" s="5" t="s">
        <v>320</v>
      </c>
    </row>
    <row r="212" ht="15" spans="1:2">
      <c r="A212" s="3" t="s">
        <v>446</v>
      </c>
      <c r="B212" s="4" t="s">
        <v>447</v>
      </c>
    </row>
    <row r="213" ht="15" spans="1:2">
      <c r="A213" s="3" t="s">
        <v>448</v>
      </c>
      <c r="B213" s="5" t="s">
        <v>449</v>
      </c>
    </row>
    <row r="214" ht="15" spans="1:2">
      <c r="A214" s="3" t="s">
        <v>450</v>
      </c>
      <c r="B214" s="6" t="s">
        <v>315</v>
      </c>
    </row>
    <row r="215" ht="15" spans="1:2">
      <c r="A215" s="3" t="s">
        <v>451</v>
      </c>
      <c r="B215" s="5" t="s">
        <v>452</v>
      </c>
    </row>
    <row r="216" ht="15" spans="1:2">
      <c r="A216" s="3" t="s">
        <v>453</v>
      </c>
      <c r="B216" s="4" t="s">
        <v>307</v>
      </c>
    </row>
    <row r="217" ht="15" spans="1:2">
      <c r="A217" s="3" t="s">
        <v>454</v>
      </c>
      <c r="B217" s="5" t="s">
        <v>455</v>
      </c>
    </row>
    <row r="218" ht="15" spans="1:2">
      <c r="A218" s="3" t="s">
        <v>456</v>
      </c>
      <c r="B218" s="5" t="s">
        <v>422</v>
      </c>
    </row>
    <row r="219" ht="15" spans="1:2">
      <c r="A219" s="3" t="s">
        <v>457</v>
      </c>
      <c r="B219" s="5" t="s">
        <v>458</v>
      </c>
    </row>
    <row r="220" ht="15" spans="1:2">
      <c r="A220" s="3" t="s">
        <v>459</v>
      </c>
      <c r="B220" s="5" t="s">
        <v>460</v>
      </c>
    </row>
    <row r="221" ht="15" spans="1:2">
      <c r="A221" s="7" t="s">
        <v>461</v>
      </c>
      <c r="B221" s="7" t="s">
        <v>462</v>
      </c>
    </row>
    <row r="222" ht="15" spans="1:2">
      <c r="A222" s="7" t="s">
        <v>463</v>
      </c>
      <c r="B222" s="7" t="s">
        <v>464</v>
      </c>
    </row>
    <row r="223" ht="15" spans="1:2">
      <c r="A223" s="7" t="s">
        <v>465</v>
      </c>
      <c r="B223" s="7" t="s">
        <v>466</v>
      </c>
    </row>
    <row r="224" ht="15" spans="1:2">
      <c r="A224" s="7" t="s">
        <v>467</v>
      </c>
      <c r="B224" s="7" t="s">
        <v>468</v>
      </c>
    </row>
    <row r="225" ht="15" spans="1:2">
      <c r="A225" s="7" t="s">
        <v>469</v>
      </c>
      <c r="B225" s="7" t="s">
        <v>470</v>
      </c>
    </row>
    <row r="226" ht="15" spans="1:2">
      <c r="A226" s="7" t="s">
        <v>471</v>
      </c>
      <c r="B226" s="7" t="s">
        <v>472</v>
      </c>
    </row>
    <row r="227" ht="15" spans="1:2">
      <c r="A227" s="7" t="s">
        <v>473</v>
      </c>
      <c r="B227" s="7" t="s">
        <v>474</v>
      </c>
    </row>
    <row r="228" ht="15" spans="1:2">
      <c r="A228" s="7" t="s">
        <v>475</v>
      </c>
      <c r="B228" s="7" t="s">
        <v>476</v>
      </c>
    </row>
    <row r="229" ht="15" spans="1:2">
      <c r="A229" s="7" t="s">
        <v>477</v>
      </c>
      <c r="B229" s="7" t="s">
        <v>478</v>
      </c>
    </row>
    <row r="230" ht="15" spans="1:2">
      <c r="A230" s="7" t="s">
        <v>479</v>
      </c>
      <c r="B230" s="7" t="s">
        <v>480</v>
      </c>
    </row>
    <row r="231" ht="15" spans="1:2">
      <c r="A231" s="7" t="s">
        <v>481</v>
      </c>
      <c r="B231" s="7" t="s">
        <v>482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Ficha</vt:lpstr>
      <vt:lpstr>INFO A CRM</vt:lpstr>
      <vt:lpstr>Matriz de repuestos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Puesto 4</dc:creator>
  <cp:lastModifiedBy>Andrea</cp:lastModifiedBy>
  <cp:revision>1</cp:revision>
  <dcterms:created xsi:type="dcterms:W3CDTF">2012-07-27T12:35:00Z</dcterms:created>
  <dcterms:modified xsi:type="dcterms:W3CDTF">2025-09-10T21:07:10Z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AdHocReviewCycleID">
    <vt:i4>426505399</vt:i4>
  </property>
  <property fmtid="{D5CDD505-2E9C-101B-9397-08002B2CF9AE}" pid="9" name="_NewReviewCycle">
    <vt:lpwstr/>
  </property>
  <property fmtid="{D5CDD505-2E9C-101B-9397-08002B2CF9AE}" pid="10" name="_EmailSubject">
    <vt:lpwstr>VALORES ACTUALIZADOS PARA REPARACION DE TENSIONADORAS</vt:lpwstr>
  </property>
  <property fmtid="{D5CDD505-2E9C-101B-9397-08002B2CF9AE}" pid="11" name="_AuthorEmail">
    <vt:lpwstr>mara.gomez@raypac.net</vt:lpwstr>
  </property>
  <property fmtid="{D5CDD505-2E9C-101B-9397-08002B2CF9AE}" pid="12" name="_AuthorEmailDisplayName">
    <vt:lpwstr>Mara Gomez</vt:lpwstr>
  </property>
  <property fmtid="{D5CDD505-2E9C-101B-9397-08002B2CF9AE}" pid="13" name="_ReviewingToolsShownOnce">
    <vt:lpwstr/>
  </property>
  <property fmtid="{D5CDD505-2E9C-101B-9397-08002B2CF9AE}" pid="14" name="ICV">
    <vt:lpwstr>10F7F5D0B73143F8979F3A1610499D52_12</vt:lpwstr>
  </property>
  <property fmtid="{D5CDD505-2E9C-101B-9397-08002B2CF9AE}" pid="15" name="KSOProductBuildVer">
    <vt:lpwstr>3082-12.2.0.21931</vt:lpwstr>
  </property>
</Properties>
</file>